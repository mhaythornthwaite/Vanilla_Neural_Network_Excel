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hayt\Documents\Software_Developer-Python\Vanilla_Neural_Network_Excel\"/>
    </mc:Choice>
  </mc:AlternateContent>
  <xr:revisionPtr revIDLastSave="0" documentId="13_ncr:1_{C350E787-08AE-4A79-A0FC-7039FC152937}" xr6:coauthVersionLast="47" xr6:coauthVersionMax="47" xr10:uidLastSave="{00000000-0000-0000-0000-000000000000}"/>
  <bookViews>
    <workbookView xWindow="-110" yWindow="-110" windowWidth="19420" windowHeight="10420" xr2:uid="{0902341D-AD10-4A63-AC83-5FCE75AC7723}"/>
  </bookViews>
  <sheets>
    <sheet name="Main Page" sheetId="1" r:id="rId1"/>
    <sheet name="Iteration Data" sheetId="2" r:id="rId2"/>
    <sheet name="Figure Backup"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4" i="1" l="1"/>
  <c r="M5" i="1"/>
  <c r="D98" i="1"/>
  <c r="D187" i="1"/>
  <c r="D161" i="1" s="1"/>
  <c r="D135" i="1" s="1"/>
  <c r="D188" i="1"/>
  <c r="D189" i="1"/>
  <c r="D190" i="1"/>
  <c r="D191" i="1"/>
  <c r="D192" i="1"/>
  <c r="D193" i="1"/>
  <c r="D194" i="1"/>
  <c r="D195" i="1"/>
  <c r="D196" i="1"/>
  <c r="D197" i="1"/>
  <c r="D198" i="1"/>
  <c r="D199" i="1"/>
  <c r="D200" i="1"/>
  <c r="D201" i="1"/>
  <c r="D202" i="1"/>
  <c r="D203" i="1"/>
  <c r="D204" i="1"/>
  <c r="D205" i="1"/>
  <c r="D206" i="1"/>
  <c r="D207" i="1"/>
  <c r="E188" i="1"/>
  <c r="F188" i="1"/>
  <c r="G188" i="1"/>
  <c r="H188" i="1"/>
  <c r="I188" i="1"/>
  <c r="J188" i="1"/>
  <c r="K188" i="1"/>
  <c r="L188" i="1"/>
  <c r="M188" i="1"/>
  <c r="N188" i="1"/>
  <c r="O188" i="1"/>
  <c r="P188" i="1"/>
  <c r="Q188" i="1"/>
  <c r="R188" i="1"/>
  <c r="S188" i="1"/>
  <c r="T188" i="1"/>
  <c r="U188" i="1"/>
  <c r="V188" i="1"/>
  <c r="W188" i="1"/>
  <c r="X188" i="1"/>
  <c r="E189" i="1"/>
  <c r="F189" i="1"/>
  <c r="G189" i="1"/>
  <c r="H189" i="1"/>
  <c r="I189" i="1"/>
  <c r="J189" i="1"/>
  <c r="K189" i="1"/>
  <c r="L189" i="1"/>
  <c r="M189" i="1"/>
  <c r="N189" i="1"/>
  <c r="O189" i="1"/>
  <c r="P189" i="1"/>
  <c r="Q189" i="1"/>
  <c r="R189" i="1"/>
  <c r="S189" i="1"/>
  <c r="T189" i="1"/>
  <c r="U189" i="1"/>
  <c r="V189" i="1"/>
  <c r="W189" i="1"/>
  <c r="X189" i="1"/>
  <c r="E190" i="1"/>
  <c r="F190" i="1"/>
  <c r="G190" i="1"/>
  <c r="H190" i="1"/>
  <c r="I190" i="1"/>
  <c r="J190" i="1"/>
  <c r="K190" i="1"/>
  <c r="L190" i="1"/>
  <c r="M190" i="1"/>
  <c r="N190" i="1"/>
  <c r="O190" i="1"/>
  <c r="P190" i="1"/>
  <c r="Q190" i="1"/>
  <c r="R190" i="1"/>
  <c r="S190" i="1"/>
  <c r="T190" i="1"/>
  <c r="U190" i="1"/>
  <c r="V190" i="1"/>
  <c r="W190" i="1"/>
  <c r="X190" i="1"/>
  <c r="E191" i="1"/>
  <c r="F191" i="1"/>
  <c r="G191" i="1"/>
  <c r="H191" i="1"/>
  <c r="I191" i="1"/>
  <c r="J191" i="1"/>
  <c r="K191" i="1"/>
  <c r="L191" i="1"/>
  <c r="M191" i="1"/>
  <c r="N191" i="1"/>
  <c r="O191" i="1"/>
  <c r="P191" i="1"/>
  <c r="Q191" i="1"/>
  <c r="R191" i="1"/>
  <c r="S191" i="1"/>
  <c r="T191" i="1"/>
  <c r="U191" i="1"/>
  <c r="V191" i="1"/>
  <c r="W191" i="1"/>
  <c r="X191" i="1"/>
  <c r="E192" i="1"/>
  <c r="F192" i="1"/>
  <c r="G192" i="1"/>
  <c r="H192" i="1"/>
  <c r="I192" i="1"/>
  <c r="J192" i="1"/>
  <c r="K192" i="1"/>
  <c r="L192" i="1"/>
  <c r="M192" i="1"/>
  <c r="N192" i="1"/>
  <c r="O192" i="1"/>
  <c r="P192" i="1"/>
  <c r="Q192" i="1"/>
  <c r="R192" i="1"/>
  <c r="S192" i="1"/>
  <c r="T192" i="1"/>
  <c r="U192" i="1"/>
  <c r="V192" i="1"/>
  <c r="W192" i="1"/>
  <c r="X192" i="1"/>
  <c r="E193" i="1"/>
  <c r="F193" i="1"/>
  <c r="G193" i="1"/>
  <c r="H193" i="1"/>
  <c r="I193" i="1"/>
  <c r="J193" i="1"/>
  <c r="K193" i="1"/>
  <c r="L193" i="1"/>
  <c r="M193" i="1"/>
  <c r="N193" i="1"/>
  <c r="O193" i="1"/>
  <c r="P193" i="1"/>
  <c r="Q193" i="1"/>
  <c r="R193" i="1"/>
  <c r="S193" i="1"/>
  <c r="T193" i="1"/>
  <c r="U193" i="1"/>
  <c r="V193" i="1"/>
  <c r="W193" i="1"/>
  <c r="X193" i="1"/>
  <c r="E194" i="1"/>
  <c r="F194" i="1"/>
  <c r="G194" i="1"/>
  <c r="H194" i="1"/>
  <c r="I194" i="1"/>
  <c r="J194" i="1"/>
  <c r="K194" i="1"/>
  <c r="L194" i="1"/>
  <c r="M194" i="1"/>
  <c r="N194" i="1"/>
  <c r="O194" i="1"/>
  <c r="P194" i="1"/>
  <c r="Q194" i="1"/>
  <c r="R194" i="1"/>
  <c r="S194" i="1"/>
  <c r="T194" i="1"/>
  <c r="U194" i="1"/>
  <c r="V194" i="1"/>
  <c r="W194" i="1"/>
  <c r="X194" i="1"/>
  <c r="E195" i="1"/>
  <c r="F195" i="1"/>
  <c r="G195" i="1"/>
  <c r="H195" i="1"/>
  <c r="I195" i="1"/>
  <c r="J195" i="1"/>
  <c r="K195" i="1"/>
  <c r="L195" i="1"/>
  <c r="M195" i="1"/>
  <c r="N195" i="1"/>
  <c r="O195" i="1"/>
  <c r="P195" i="1"/>
  <c r="Q195" i="1"/>
  <c r="R195" i="1"/>
  <c r="S195" i="1"/>
  <c r="T195" i="1"/>
  <c r="U195" i="1"/>
  <c r="V195" i="1"/>
  <c r="W195" i="1"/>
  <c r="X195" i="1"/>
  <c r="E196" i="1"/>
  <c r="F196" i="1"/>
  <c r="G196" i="1"/>
  <c r="H196" i="1"/>
  <c r="I196" i="1"/>
  <c r="J196" i="1"/>
  <c r="K196" i="1"/>
  <c r="L196" i="1"/>
  <c r="M196" i="1"/>
  <c r="N196" i="1"/>
  <c r="O196" i="1"/>
  <c r="P196" i="1"/>
  <c r="Q196" i="1"/>
  <c r="R196" i="1"/>
  <c r="S196" i="1"/>
  <c r="T196" i="1"/>
  <c r="U196" i="1"/>
  <c r="V196" i="1"/>
  <c r="W196" i="1"/>
  <c r="X196" i="1"/>
  <c r="E197" i="1"/>
  <c r="F197" i="1"/>
  <c r="G197" i="1"/>
  <c r="H197" i="1"/>
  <c r="I197" i="1"/>
  <c r="J197" i="1"/>
  <c r="K197" i="1"/>
  <c r="L197" i="1"/>
  <c r="M197" i="1"/>
  <c r="N197" i="1"/>
  <c r="O197" i="1"/>
  <c r="P197" i="1"/>
  <c r="Q197" i="1"/>
  <c r="R197" i="1"/>
  <c r="S197" i="1"/>
  <c r="T197" i="1"/>
  <c r="U197" i="1"/>
  <c r="V197" i="1"/>
  <c r="W197" i="1"/>
  <c r="X197" i="1"/>
  <c r="E198" i="1"/>
  <c r="F198" i="1"/>
  <c r="G198" i="1"/>
  <c r="H198" i="1"/>
  <c r="I198" i="1"/>
  <c r="J198" i="1"/>
  <c r="K198" i="1"/>
  <c r="L198" i="1"/>
  <c r="M198" i="1"/>
  <c r="N198" i="1"/>
  <c r="O198" i="1"/>
  <c r="P198" i="1"/>
  <c r="Q198" i="1"/>
  <c r="R198" i="1"/>
  <c r="S198" i="1"/>
  <c r="T198" i="1"/>
  <c r="U198" i="1"/>
  <c r="V198" i="1"/>
  <c r="W198" i="1"/>
  <c r="X198" i="1"/>
  <c r="E199" i="1"/>
  <c r="F199" i="1"/>
  <c r="G199" i="1"/>
  <c r="H199" i="1"/>
  <c r="I199" i="1"/>
  <c r="J199" i="1"/>
  <c r="K199" i="1"/>
  <c r="L199" i="1"/>
  <c r="M199" i="1"/>
  <c r="N199" i="1"/>
  <c r="O199" i="1"/>
  <c r="P199" i="1"/>
  <c r="Q199" i="1"/>
  <c r="R199" i="1"/>
  <c r="S199" i="1"/>
  <c r="T199" i="1"/>
  <c r="U199" i="1"/>
  <c r="V199" i="1"/>
  <c r="W199" i="1"/>
  <c r="X199" i="1"/>
  <c r="E200" i="1"/>
  <c r="F200" i="1"/>
  <c r="G200" i="1"/>
  <c r="H200" i="1"/>
  <c r="I200" i="1"/>
  <c r="J200" i="1"/>
  <c r="K200" i="1"/>
  <c r="L200" i="1"/>
  <c r="M200" i="1"/>
  <c r="N200" i="1"/>
  <c r="O200" i="1"/>
  <c r="P200" i="1"/>
  <c r="Q200" i="1"/>
  <c r="R200" i="1"/>
  <c r="S200" i="1"/>
  <c r="T200" i="1"/>
  <c r="U200" i="1"/>
  <c r="V200" i="1"/>
  <c r="W200" i="1"/>
  <c r="X200" i="1"/>
  <c r="E201" i="1"/>
  <c r="F201" i="1"/>
  <c r="G201" i="1"/>
  <c r="H201" i="1"/>
  <c r="I201" i="1"/>
  <c r="J201" i="1"/>
  <c r="K201" i="1"/>
  <c r="L201" i="1"/>
  <c r="M201" i="1"/>
  <c r="N201" i="1"/>
  <c r="O201" i="1"/>
  <c r="P201" i="1"/>
  <c r="Q201" i="1"/>
  <c r="R201" i="1"/>
  <c r="S201" i="1"/>
  <c r="T201" i="1"/>
  <c r="U201" i="1"/>
  <c r="V201" i="1"/>
  <c r="W201" i="1"/>
  <c r="X201" i="1"/>
  <c r="E202" i="1"/>
  <c r="F202" i="1"/>
  <c r="G202" i="1"/>
  <c r="H202" i="1"/>
  <c r="I202" i="1"/>
  <c r="J202" i="1"/>
  <c r="K202" i="1"/>
  <c r="L202" i="1"/>
  <c r="M202" i="1"/>
  <c r="N202" i="1"/>
  <c r="O202" i="1"/>
  <c r="P202" i="1"/>
  <c r="Q202" i="1"/>
  <c r="R202" i="1"/>
  <c r="S202" i="1"/>
  <c r="T202" i="1"/>
  <c r="U202" i="1"/>
  <c r="V202" i="1"/>
  <c r="W202" i="1"/>
  <c r="X202" i="1"/>
  <c r="E203" i="1"/>
  <c r="F203" i="1"/>
  <c r="G203" i="1"/>
  <c r="H203" i="1"/>
  <c r="I203" i="1"/>
  <c r="J203" i="1"/>
  <c r="K203" i="1"/>
  <c r="L203" i="1"/>
  <c r="M203" i="1"/>
  <c r="N203" i="1"/>
  <c r="O203" i="1"/>
  <c r="P203" i="1"/>
  <c r="Q203" i="1"/>
  <c r="R203" i="1"/>
  <c r="S203" i="1"/>
  <c r="T203" i="1"/>
  <c r="U203" i="1"/>
  <c r="V203" i="1"/>
  <c r="W203" i="1"/>
  <c r="X203" i="1"/>
  <c r="E204" i="1"/>
  <c r="F204" i="1"/>
  <c r="G204" i="1"/>
  <c r="H204" i="1"/>
  <c r="I204" i="1"/>
  <c r="J204" i="1"/>
  <c r="K204" i="1"/>
  <c r="L204" i="1"/>
  <c r="M204" i="1"/>
  <c r="N204" i="1"/>
  <c r="O204" i="1"/>
  <c r="P204" i="1"/>
  <c r="Q204" i="1"/>
  <c r="R204" i="1"/>
  <c r="S204" i="1"/>
  <c r="T204" i="1"/>
  <c r="U204" i="1"/>
  <c r="V204" i="1"/>
  <c r="W204" i="1"/>
  <c r="X204" i="1"/>
  <c r="E205" i="1"/>
  <c r="F205" i="1"/>
  <c r="G205" i="1"/>
  <c r="H205" i="1"/>
  <c r="I205" i="1"/>
  <c r="J205" i="1"/>
  <c r="K205" i="1"/>
  <c r="L205" i="1"/>
  <c r="M205" i="1"/>
  <c r="N205" i="1"/>
  <c r="O205" i="1"/>
  <c r="P205" i="1"/>
  <c r="Q205" i="1"/>
  <c r="R205" i="1"/>
  <c r="S205" i="1"/>
  <c r="T205" i="1"/>
  <c r="U205" i="1"/>
  <c r="V205" i="1"/>
  <c r="W205" i="1"/>
  <c r="X205" i="1"/>
  <c r="E206" i="1"/>
  <c r="F206" i="1"/>
  <c r="G206" i="1"/>
  <c r="H206" i="1"/>
  <c r="I206" i="1"/>
  <c r="J206" i="1"/>
  <c r="K206" i="1"/>
  <c r="L206" i="1"/>
  <c r="M206" i="1"/>
  <c r="N206" i="1"/>
  <c r="O206" i="1"/>
  <c r="P206" i="1"/>
  <c r="Q206" i="1"/>
  <c r="R206" i="1"/>
  <c r="S206" i="1"/>
  <c r="T206" i="1"/>
  <c r="U206" i="1"/>
  <c r="V206" i="1"/>
  <c r="W206" i="1"/>
  <c r="X206" i="1"/>
  <c r="E207" i="1"/>
  <c r="F207" i="1"/>
  <c r="G207" i="1"/>
  <c r="H207" i="1"/>
  <c r="I207" i="1"/>
  <c r="J207" i="1"/>
  <c r="K207" i="1"/>
  <c r="L207" i="1"/>
  <c r="M207" i="1"/>
  <c r="N207" i="1"/>
  <c r="O207" i="1"/>
  <c r="P207" i="1"/>
  <c r="Q207" i="1"/>
  <c r="R207" i="1"/>
  <c r="S207" i="1"/>
  <c r="T207" i="1"/>
  <c r="U207" i="1"/>
  <c r="V207" i="1"/>
  <c r="W207" i="1"/>
  <c r="X207" i="1"/>
  <c r="F187" i="1"/>
  <c r="G187" i="1"/>
  <c r="H187" i="1"/>
  <c r="I187" i="1"/>
  <c r="J187" i="1"/>
  <c r="K187" i="1"/>
  <c r="L187" i="1"/>
  <c r="M187" i="1"/>
  <c r="N187" i="1"/>
  <c r="O187" i="1"/>
  <c r="P187" i="1"/>
  <c r="Q187" i="1"/>
  <c r="R187" i="1"/>
  <c r="S187" i="1"/>
  <c r="T187" i="1"/>
  <c r="U187" i="1"/>
  <c r="V187" i="1"/>
  <c r="W187" i="1"/>
  <c r="X187" i="1"/>
  <c r="E187" i="1"/>
  <c r="S12" i="1"/>
  <c r="S6" i="1"/>
  <c r="S7" i="1"/>
  <c r="S8" i="1"/>
  <c r="S9" i="1"/>
  <c r="S10" i="1"/>
  <c r="S11" i="1"/>
  <c r="S5" i="1"/>
  <c r="B102" i="1" l="1"/>
  <c r="D99" i="1" s="1"/>
  <c r="T163" i="1"/>
  <c r="T137" i="1" s="1"/>
  <c r="H163" i="1"/>
  <c r="O163" i="1"/>
  <c r="O137" i="1" s="1"/>
  <c r="P163" i="1"/>
  <c r="O164" i="1"/>
  <c r="O138" i="1" s="1"/>
  <c r="U164" i="1"/>
  <c r="W164" i="1"/>
  <c r="W138" i="1" s="1"/>
  <c r="J165" i="1"/>
  <c r="J139" i="1" s="1"/>
  <c r="W165" i="1"/>
  <c r="X165" i="1"/>
  <c r="E166" i="1"/>
  <c r="E140" i="1" s="1"/>
  <c r="R166" i="1"/>
  <c r="S166" i="1"/>
  <c r="F167" i="1"/>
  <c r="H167" i="1"/>
  <c r="H141" i="1" s="1"/>
  <c r="M167" i="1"/>
  <c r="U167" i="1"/>
  <c r="V167" i="1"/>
  <c r="H168" i="1"/>
  <c r="I168" i="1"/>
  <c r="K168" i="1"/>
  <c r="K142" i="1" s="1"/>
  <c r="S168" i="1"/>
  <c r="X168" i="1"/>
  <c r="F169" i="1"/>
  <c r="K169" i="1"/>
  <c r="L169" i="1"/>
  <c r="S169" i="1"/>
  <c r="T169" i="1"/>
  <c r="E170" i="1"/>
  <c r="F170" i="1"/>
  <c r="I170" i="1"/>
  <c r="O170" i="1"/>
  <c r="Q170" i="1"/>
  <c r="V170" i="1"/>
  <c r="W170" i="1"/>
  <c r="D171" i="1"/>
  <c r="J171" i="1"/>
  <c r="M171" i="1"/>
  <c r="Q171" i="1"/>
  <c r="T171" i="1"/>
  <c r="U171" i="1"/>
  <c r="G172" i="1"/>
  <c r="H172" i="1"/>
  <c r="M172" i="1"/>
  <c r="O172" i="1"/>
  <c r="S172" i="1"/>
  <c r="X172" i="1"/>
  <c r="F173" i="1"/>
  <c r="J173" i="1"/>
  <c r="K173" i="1"/>
  <c r="N173" i="1"/>
  <c r="S173" i="1"/>
  <c r="W173" i="1"/>
  <c r="E174" i="1"/>
  <c r="I174" i="1"/>
  <c r="J174" i="1"/>
  <c r="Q174" i="1"/>
  <c r="R174" i="1"/>
  <c r="U174" i="1"/>
  <c r="V174" i="1"/>
  <c r="X174" i="1"/>
  <c r="G175" i="1"/>
  <c r="H175" i="1"/>
  <c r="K175" i="1"/>
  <c r="L175" i="1"/>
  <c r="M175" i="1"/>
  <c r="Q175" i="1"/>
  <c r="S175" i="1"/>
  <c r="T175" i="1"/>
  <c r="U175" i="1"/>
  <c r="W175" i="1"/>
  <c r="X175" i="1"/>
  <c r="G176" i="1"/>
  <c r="H176" i="1"/>
  <c r="J176" i="1"/>
  <c r="K176" i="1"/>
  <c r="L176" i="1"/>
  <c r="N176" i="1"/>
  <c r="R176" i="1"/>
  <c r="S176" i="1"/>
  <c r="T176" i="1"/>
  <c r="V176" i="1"/>
  <c r="W176" i="1"/>
  <c r="X176" i="1"/>
  <c r="G177" i="1"/>
  <c r="I177" i="1"/>
  <c r="J177" i="1"/>
  <c r="K177" i="1"/>
  <c r="M177" i="1"/>
  <c r="N177" i="1"/>
  <c r="Q177" i="1"/>
  <c r="R177" i="1"/>
  <c r="S177" i="1"/>
  <c r="U177" i="1"/>
  <c r="V177" i="1"/>
  <c r="W177" i="1"/>
  <c r="D178" i="1"/>
  <c r="F178" i="1"/>
  <c r="H178" i="1"/>
  <c r="I178" i="1"/>
  <c r="J178" i="1"/>
  <c r="L178" i="1"/>
  <c r="M178" i="1"/>
  <c r="N178" i="1"/>
  <c r="P178" i="1"/>
  <c r="Q178" i="1"/>
  <c r="R178" i="1"/>
  <c r="T178" i="1"/>
  <c r="U178" i="1"/>
  <c r="V178" i="1"/>
  <c r="X178" i="1"/>
  <c r="D179" i="1"/>
  <c r="E179" i="1"/>
  <c r="G179" i="1"/>
  <c r="H179" i="1"/>
  <c r="I179" i="1"/>
  <c r="K179" i="1"/>
  <c r="L179" i="1"/>
  <c r="M179" i="1"/>
  <c r="O179" i="1"/>
  <c r="P179" i="1"/>
  <c r="Q179" i="1"/>
  <c r="S179" i="1"/>
  <c r="T179" i="1"/>
  <c r="U179" i="1"/>
  <c r="W179" i="1"/>
  <c r="X179" i="1"/>
  <c r="D180" i="1"/>
  <c r="F180" i="1"/>
  <c r="G180" i="1"/>
  <c r="H180" i="1"/>
  <c r="J180" i="1"/>
  <c r="K180" i="1"/>
  <c r="L180" i="1"/>
  <c r="M180" i="1"/>
  <c r="N180" i="1"/>
  <c r="O180" i="1"/>
  <c r="P180" i="1"/>
  <c r="Q180" i="1"/>
  <c r="R180" i="1"/>
  <c r="S180" i="1"/>
  <c r="T180" i="1"/>
  <c r="U180" i="1"/>
  <c r="V180" i="1"/>
  <c r="W180" i="1"/>
  <c r="X180" i="1"/>
  <c r="D181" i="1"/>
  <c r="E181" i="1"/>
  <c r="F181" i="1"/>
  <c r="G181" i="1"/>
  <c r="H181" i="1"/>
  <c r="I181" i="1"/>
  <c r="J181" i="1"/>
  <c r="K181" i="1"/>
  <c r="L181" i="1"/>
  <c r="M181" i="1"/>
  <c r="N181" i="1"/>
  <c r="O181" i="1"/>
  <c r="P181" i="1"/>
  <c r="Q181" i="1"/>
  <c r="R181" i="1"/>
  <c r="S181" i="1"/>
  <c r="T181" i="1"/>
  <c r="U181" i="1"/>
  <c r="V181" i="1"/>
  <c r="W181" i="1"/>
  <c r="X181" i="1"/>
  <c r="J162" i="1"/>
  <c r="F162" i="1"/>
  <c r="G162" i="1"/>
  <c r="H162" i="1"/>
  <c r="I162" i="1"/>
  <c r="K162" i="1"/>
  <c r="L162" i="1"/>
  <c r="M162" i="1"/>
  <c r="N162" i="1"/>
  <c r="O162" i="1"/>
  <c r="P162" i="1"/>
  <c r="Q162" i="1"/>
  <c r="R162" i="1"/>
  <c r="S162" i="1"/>
  <c r="T162" i="1"/>
  <c r="U162" i="1"/>
  <c r="V162" i="1"/>
  <c r="W162" i="1"/>
  <c r="X162" i="1"/>
  <c r="E162" i="1"/>
  <c r="D162" i="1"/>
  <c r="H161" i="1"/>
  <c r="I161" i="1"/>
  <c r="J161" i="1"/>
  <c r="K161" i="1"/>
  <c r="L161" i="1"/>
  <c r="M161" i="1"/>
  <c r="N161" i="1"/>
  <c r="O161" i="1"/>
  <c r="P161" i="1"/>
  <c r="Q161" i="1"/>
  <c r="R161" i="1"/>
  <c r="S161" i="1"/>
  <c r="T161" i="1"/>
  <c r="U161" i="1"/>
  <c r="V161" i="1"/>
  <c r="W161" i="1"/>
  <c r="X161" i="1"/>
  <c r="G161" i="1"/>
  <c r="E161" i="1"/>
  <c r="F161" i="1"/>
  <c r="AZ12" i="1"/>
  <c r="AZ11" i="1"/>
  <c r="AZ10" i="1"/>
  <c r="AZ9" i="1"/>
  <c r="AZ8" i="1"/>
  <c r="AZ7" i="1"/>
  <c r="AZ6" i="1"/>
  <c r="AZ5" i="1"/>
  <c r="AS12" i="1"/>
  <c r="AS11" i="1"/>
  <c r="AS10" i="1"/>
  <c r="AS9" i="1"/>
  <c r="AS8" i="1"/>
  <c r="AS7" i="1"/>
  <c r="AS6" i="1"/>
  <c r="AS5" i="1"/>
  <c r="AL6" i="1"/>
  <c r="AL7" i="1"/>
  <c r="AL8" i="1"/>
  <c r="AL9" i="1"/>
  <c r="AL10" i="1"/>
  <c r="AL11" i="1"/>
  <c r="AL12" i="1"/>
  <c r="AL5" i="1"/>
  <c r="J135" i="1" l="1"/>
  <c r="J109" i="1" s="1"/>
  <c r="U154" i="1"/>
  <c r="U128" i="1" s="1"/>
  <c r="X153" i="1"/>
  <c r="X127" i="1" s="1"/>
  <c r="X152" i="1"/>
  <c r="X126" i="1" s="1"/>
  <c r="V151" i="1"/>
  <c r="V125" i="1" s="1"/>
  <c r="R150" i="1"/>
  <c r="R124" i="1" s="1"/>
  <c r="W149" i="1"/>
  <c r="W123" i="1" s="1"/>
  <c r="I148" i="1"/>
  <c r="I122" i="1" s="1"/>
  <c r="X146" i="1"/>
  <c r="X120" i="1" s="1"/>
  <c r="Q145" i="1"/>
  <c r="Q119" i="1" s="1"/>
  <c r="I144" i="1"/>
  <c r="I118" i="1" s="1"/>
  <c r="G135" i="1"/>
  <c r="G109" i="1" s="1"/>
  <c r="Q135" i="1"/>
  <c r="Q109" i="1" s="1"/>
  <c r="I135" i="1"/>
  <c r="I109" i="1" s="1"/>
  <c r="T136" i="1"/>
  <c r="T110" i="1" s="1"/>
  <c r="L136" i="1"/>
  <c r="L110" i="1" s="1"/>
  <c r="W155" i="1"/>
  <c r="W129" i="1" s="1"/>
  <c r="O155" i="1"/>
  <c r="O129" i="1" s="1"/>
  <c r="G155" i="1"/>
  <c r="G129" i="1" s="1"/>
  <c r="T154" i="1"/>
  <c r="T128" i="1" s="1"/>
  <c r="L154" i="1"/>
  <c r="L128" i="1" s="1"/>
  <c r="W153" i="1"/>
  <c r="W127" i="1" s="1"/>
  <c r="L153" i="1"/>
  <c r="L127" i="1" s="1"/>
  <c r="V152" i="1"/>
  <c r="V126" i="1" s="1"/>
  <c r="L152" i="1"/>
  <c r="L126" i="1" s="1"/>
  <c r="U151" i="1"/>
  <c r="U125" i="1" s="1"/>
  <c r="I151" i="1"/>
  <c r="I125" i="1" s="1"/>
  <c r="N150" i="1"/>
  <c r="N124" i="1" s="1"/>
  <c r="U149" i="1"/>
  <c r="U123" i="1" s="1"/>
  <c r="G149" i="1"/>
  <c r="G123" i="1" s="1"/>
  <c r="E148" i="1"/>
  <c r="E122" i="1" s="1"/>
  <c r="S146" i="1"/>
  <c r="S120" i="1" s="1"/>
  <c r="M145" i="1"/>
  <c r="M119" i="1" s="1"/>
  <c r="F144" i="1"/>
  <c r="F118" i="1" s="1"/>
  <c r="S142" i="1"/>
  <c r="S116" i="1" s="1"/>
  <c r="F141" i="1"/>
  <c r="F115" i="1" s="1"/>
  <c r="U138" i="1"/>
  <c r="U112" i="1" s="1"/>
  <c r="R135" i="1"/>
  <c r="R109" i="1" s="1"/>
  <c r="H155" i="1"/>
  <c r="H129" i="1" s="1"/>
  <c r="M154" i="1"/>
  <c r="M128" i="1" s="1"/>
  <c r="M153" i="1"/>
  <c r="M127" i="1" s="1"/>
  <c r="M152" i="1"/>
  <c r="M126" i="1" s="1"/>
  <c r="J151" i="1"/>
  <c r="J125" i="1" s="1"/>
  <c r="H149" i="1"/>
  <c r="H123" i="1" s="1"/>
  <c r="X142" i="1"/>
  <c r="X116" i="1" s="1"/>
  <c r="X135" i="1"/>
  <c r="X109" i="1" s="1"/>
  <c r="P135" i="1"/>
  <c r="P109" i="1" s="1"/>
  <c r="H135" i="1"/>
  <c r="H109" i="1" s="1"/>
  <c r="S136" i="1"/>
  <c r="S110" i="1" s="1"/>
  <c r="K136" i="1"/>
  <c r="K110" i="1" s="1"/>
  <c r="V155" i="1"/>
  <c r="V129" i="1" s="1"/>
  <c r="N155" i="1"/>
  <c r="N129" i="1" s="1"/>
  <c r="F155" i="1"/>
  <c r="F129" i="1" s="1"/>
  <c r="S154" i="1"/>
  <c r="S128" i="1" s="1"/>
  <c r="K154" i="1"/>
  <c r="K128" i="1" s="1"/>
  <c r="U153" i="1"/>
  <c r="U127" i="1" s="1"/>
  <c r="K153" i="1"/>
  <c r="K127" i="1" s="1"/>
  <c r="U152" i="1"/>
  <c r="U126" i="1" s="1"/>
  <c r="J152" i="1"/>
  <c r="J126" i="1" s="1"/>
  <c r="S151" i="1"/>
  <c r="S125" i="1" s="1"/>
  <c r="G151" i="1"/>
  <c r="G125" i="1" s="1"/>
  <c r="L150" i="1"/>
  <c r="L124" i="1" s="1"/>
  <c r="T149" i="1"/>
  <c r="T123" i="1" s="1"/>
  <c r="X148" i="1"/>
  <c r="X122" i="1" s="1"/>
  <c r="W147" i="1"/>
  <c r="W121" i="1" s="1"/>
  <c r="O146" i="1"/>
  <c r="O120" i="1" s="1"/>
  <c r="J145" i="1"/>
  <c r="J119" i="1" s="1"/>
  <c r="E144" i="1"/>
  <c r="E118" i="1" s="1"/>
  <c r="S140" i="1"/>
  <c r="S114" i="1" s="1"/>
  <c r="X155" i="1"/>
  <c r="X129" i="1" s="1"/>
  <c r="O135" i="1"/>
  <c r="O109" i="1" s="1"/>
  <c r="U155" i="1"/>
  <c r="U129" i="1" s="1"/>
  <c r="J154" i="1"/>
  <c r="J128" i="1" s="1"/>
  <c r="I152" i="1"/>
  <c r="I126" i="1" s="1"/>
  <c r="S149" i="1"/>
  <c r="S123" i="1" s="1"/>
  <c r="D145" i="1"/>
  <c r="D119" i="1" s="1"/>
  <c r="R140" i="1"/>
  <c r="R114" i="1" s="1"/>
  <c r="N135" i="1"/>
  <c r="N109" i="1" s="1"/>
  <c r="T155" i="1"/>
  <c r="T129" i="1" s="1"/>
  <c r="D155" i="1"/>
  <c r="D129" i="1" s="1"/>
  <c r="H154" i="1"/>
  <c r="H128" i="1" s="1"/>
  <c r="H153" i="1"/>
  <c r="H127" i="1" s="1"/>
  <c r="R152" i="1"/>
  <c r="R126" i="1" s="1"/>
  <c r="H152" i="1"/>
  <c r="H126" i="1" s="1"/>
  <c r="Q151" i="1"/>
  <c r="Q125" i="1" s="1"/>
  <c r="W150" i="1"/>
  <c r="W124" i="1" s="1"/>
  <c r="J150" i="1"/>
  <c r="J124" i="1" s="1"/>
  <c r="Q149" i="1"/>
  <c r="Q123" i="1" s="1"/>
  <c r="U148" i="1"/>
  <c r="U122" i="1" s="1"/>
  <c r="N147" i="1"/>
  <c r="N121" i="1" s="1"/>
  <c r="H146" i="1"/>
  <c r="H120" i="1" s="1"/>
  <c r="W144" i="1"/>
  <c r="W118" i="1" s="1"/>
  <c r="S143" i="1"/>
  <c r="S117" i="1" s="1"/>
  <c r="H142" i="1"/>
  <c r="H116" i="1" s="1"/>
  <c r="M136" i="1"/>
  <c r="M110" i="1" s="1"/>
  <c r="D136" i="1"/>
  <c r="D110" i="1" s="1"/>
  <c r="M155" i="1"/>
  <c r="M129" i="1" s="1"/>
  <c r="T152" i="1"/>
  <c r="T126" i="1" s="1"/>
  <c r="V148" i="1"/>
  <c r="V122" i="1" s="1"/>
  <c r="T143" i="1"/>
  <c r="T117" i="1" s="1"/>
  <c r="E136" i="1"/>
  <c r="E110" i="1" s="1"/>
  <c r="Q154" i="1"/>
  <c r="Q128" i="1" s="1"/>
  <c r="U135" i="1"/>
  <c r="U109" i="1" s="1"/>
  <c r="M135" i="1"/>
  <c r="M109" i="1" s="1"/>
  <c r="X136" i="1"/>
  <c r="X110" i="1" s="1"/>
  <c r="P136" i="1"/>
  <c r="P110" i="1" s="1"/>
  <c r="G136" i="1"/>
  <c r="G110" i="1" s="1"/>
  <c r="S155" i="1"/>
  <c r="S129" i="1" s="1"/>
  <c r="K155" i="1"/>
  <c r="K129" i="1" s="1"/>
  <c r="X154" i="1"/>
  <c r="X128" i="1" s="1"/>
  <c r="P154" i="1"/>
  <c r="P128" i="1" s="1"/>
  <c r="G154" i="1"/>
  <c r="G128" i="1" s="1"/>
  <c r="Q153" i="1"/>
  <c r="Q127" i="1" s="1"/>
  <c r="G153" i="1"/>
  <c r="G127" i="1" s="1"/>
  <c r="Q152" i="1"/>
  <c r="Q126" i="1" s="1"/>
  <c r="F152" i="1"/>
  <c r="F126" i="1" s="1"/>
  <c r="N151" i="1"/>
  <c r="N125" i="1" s="1"/>
  <c r="V150" i="1"/>
  <c r="V124" i="1" s="1"/>
  <c r="H150" i="1"/>
  <c r="H124" i="1" s="1"/>
  <c r="M149" i="1"/>
  <c r="M123" i="1" s="1"/>
  <c r="R148" i="1"/>
  <c r="R122" i="1" s="1"/>
  <c r="K147" i="1"/>
  <c r="K121" i="1" s="1"/>
  <c r="G146" i="1"/>
  <c r="G120" i="1" s="1"/>
  <c r="V144" i="1"/>
  <c r="V118" i="1" s="1"/>
  <c r="L143" i="1"/>
  <c r="L117" i="1" s="1"/>
  <c r="V141" i="1"/>
  <c r="V115" i="1" s="1"/>
  <c r="X139" i="1"/>
  <c r="X113" i="1" s="1"/>
  <c r="H137" i="1"/>
  <c r="H111" i="1" s="1"/>
  <c r="E135" i="1"/>
  <c r="E109" i="1" s="1"/>
  <c r="U136" i="1"/>
  <c r="U110" i="1" s="1"/>
  <c r="R136" i="1"/>
  <c r="R110" i="1" s="1"/>
  <c r="E155" i="1"/>
  <c r="E129" i="1" s="1"/>
  <c r="T153" i="1"/>
  <c r="T127" i="1" s="1"/>
  <c r="R151" i="1"/>
  <c r="R125" i="1" s="1"/>
  <c r="K150" i="1"/>
  <c r="K124" i="1" s="1"/>
  <c r="S147" i="1"/>
  <c r="S121" i="1" s="1"/>
  <c r="I142" i="1"/>
  <c r="I116" i="1" s="1"/>
  <c r="V135" i="1"/>
  <c r="V109" i="1" s="1"/>
  <c r="Q136" i="1"/>
  <c r="Q110" i="1" s="1"/>
  <c r="L155" i="1"/>
  <c r="L129" i="1" s="1"/>
  <c r="S153" i="1"/>
  <c r="S127" i="1" s="1"/>
  <c r="T135" i="1"/>
  <c r="T109" i="1" s="1"/>
  <c r="L135" i="1"/>
  <c r="L109" i="1" s="1"/>
  <c r="W136" i="1"/>
  <c r="W110" i="1" s="1"/>
  <c r="O136" i="1"/>
  <c r="O110" i="1" s="1"/>
  <c r="F136" i="1"/>
  <c r="F110" i="1" s="1"/>
  <c r="R155" i="1"/>
  <c r="R129" i="1" s="1"/>
  <c r="J155" i="1"/>
  <c r="J129" i="1" s="1"/>
  <c r="W154" i="1"/>
  <c r="W128" i="1" s="1"/>
  <c r="O154" i="1"/>
  <c r="O128" i="1" s="1"/>
  <c r="F154" i="1"/>
  <c r="F128" i="1" s="1"/>
  <c r="P153" i="1"/>
  <c r="P127" i="1" s="1"/>
  <c r="E153" i="1"/>
  <c r="E127" i="1" s="1"/>
  <c r="P152" i="1"/>
  <c r="P126" i="1" s="1"/>
  <c r="D152" i="1"/>
  <c r="D126" i="1" s="1"/>
  <c r="M151" i="1"/>
  <c r="M125" i="1" s="1"/>
  <c r="T150" i="1"/>
  <c r="T124" i="1" s="1"/>
  <c r="G150" i="1"/>
  <c r="G124" i="1" s="1"/>
  <c r="L149" i="1"/>
  <c r="L123" i="1" s="1"/>
  <c r="Q148" i="1"/>
  <c r="Q122" i="1" s="1"/>
  <c r="J147" i="1"/>
  <c r="J121" i="1" s="1"/>
  <c r="U145" i="1"/>
  <c r="U119" i="1" s="1"/>
  <c r="Q144" i="1"/>
  <c r="Q118" i="1" s="1"/>
  <c r="K143" i="1"/>
  <c r="K117" i="1" s="1"/>
  <c r="U141" i="1"/>
  <c r="U115" i="1" s="1"/>
  <c r="W139" i="1"/>
  <c r="W113" i="1" s="1"/>
  <c r="P155" i="1"/>
  <c r="P129" i="1" s="1"/>
  <c r="W135" i="1"/>
  <c r="W109" i="1" s="1"/>
  <c r="I136" i="1"/>
  <c r="I110" i="1" s="1"/>
  <c r="R154" i="1"/>
  <c r="R128" i="1" s="1"/>
  <c r="I153" i="1"/>
  <c r="I127" i="1" s="1"/>
  <c r="X150" i="1"/>
  <c r="X124" i="1" s="1"/>
  <c r="M146" i="1"/>
  <c r="M120" i="1" s="1"/>
  <c r="P137" i="1"/>
  <c r="P111" i="1" s="1"/>
  <c r="H136" i="1"/>
  <c r="H110" i="1" s="1"/>
  <c r="F135" i="1"/>
  <c r="F109" i="1" s="1"/>
  <c r="S135" i="1"/>
  <c r="S109" i="1" s="1"/>
  <c r="K135" i="1"/>
  <c r="K109" i="1" s="1"/>
  <c r="V136" i="1"/>
  <c r="V110" i="1" s="1"/>
  <c r="N136" i="1"/>
  <c r="N110" i="1" s="1"/>
  <c r="J136" i="1"/>
  <c r="J110" i="1" s="1"/>
  <c r="Q155" i="1"/>
  <c r="Q129" i="1" s="1"/>
  <c r="I155" i="1"/>
  <c r="I129" i="1" s="1"/>
  <c r="V154" i="1"/>
  <c r="V128" i="1" s="1"/>
  <c r="N154" i="1"/>
  <c r="N128" i="1" s="1"/>
  <c r="D154" i="1"/>
  <c r="D128" i="1" s="1"/>
  <c r="O153" i="1"/>
  <c r="O127" i="1" s="1"/>
  <c r="D153" i="1"/>
  <c r="D127" i="1" s="1"/>
  <c r="N152" i="1"/>
  <c r="N126" i="1" s="1"/>
  <c r="W151" i="1"/>
  <c r="W125" i="1" s="1"/>
  <c r="K151" i="1"/>
  <c r="K125" i="1" s="1"/>
  <c r="S150" i="1"/>
  <c r="S124" i="1" s="1"/>
  <c r="X149" i="1"/>
  <c r="X123" i="1" s="1"/>
  <c r="K149" i="1"/>
  <c r="K123" i="1" s="1"/>
  <c r="J148" i="1"/>
  <c r="J122" i="1" s="1"/>
  <c r="F147" i="1"/>
  <c r="F121" i="1" s="1"/>
  <c r="T145" i="1"/>
  <c r="T119" i="1" s="1"/>
  <c r="O144" i="1"/>
  <c r="O118" i="1" s="1"/>
  <c r="F143" i="1"/>
  <c r="F117" i="1" s="1"/>
  <c r="M141" i="1"/>
  <c r="M115" i="1" s="1"/>
  <c r="D102" i="1"/>
  <c r="D101" i="1"/>
  <c r="D100" i="1"/>
  <c r="I175" i="1"/>
  <c r="T174" i="1"/>
  <c r="X173" i="1"/>
  <c r="G173" i="1"/>
  <c r="L172" i="1"/>
  <c r="P171" i="1"/>
  <c r="R170" i="1"/>
  <c r="W169" i="1"/>
  <c r="D169" i="1"/>
  <c r="X167" i="1"/>
  <c r="U166" i="1"/>
  <c r="R165" i="1"/>
  <c r="M164" i="1"/>
  <c r="F163" i="1"/>
  <c r="P165" i="1"/>
  <c r="L164" i="1"/>
  <c r="G164" i="1"/>
  <c r="F177" i="1"/>
  <c r="P176" i="1"/>
  <c r="F176" i="1"/>
  <c r="P175" i="1"/>
  <c r="E175" i="1"/>
  <c r="N174" i="1"/>
  <c r="R173" i="1"/>
  <c r="U172" i="1"/>
  <c r="E172" i="1"/>
  <c r="I171" i="1"/>
  <c r="M170" i="1"/>
  <c r="R169" i="1"/>
  <c r="Q168" i="1"/>
  <c r="P167" i="1"/>
  <c r="M166" i="1"/>
  <c r="H165" i="1"/>
  <c r="E164" i="1"/>
  <c r="I163" i="1"/>
  <c r="E178" i="1"/>
  <c r="O177" i="1"/>
  <c r="E177" i="1"/>
  <c r="O176" i="1"/>
  <c r="D176" i="1"/>
  <c r="O175" i="1"/>
  <c r="D175" i="1"/>
  <c r="K174" i="1"/>
  <c r="P173" i="1"/>
  <c r="T172" i="1"/>
  <c r="X171" i="1"/>
  <c r="H171" i="1"/>
  <c r="J170" i="1"/>
  <c r="N169" i="1"/>
  <c r="P168" i="1"/>
  <c r="N167" i="1"/>
  <c r="K166" i="1"/>
  <c r="G165" i="1"/>
  <c r="L163" i="1"/>
  <c r="U163" i="1"/>
  <c r="I180" i="1"/>
  <c r="V179" i="1"/>
  <c r="N179" i="1"/>
  <c r="F179" i="1"/>
  <c r="S178" i="1"/>
  <c r="K178" i="1"/>
  <c r="X177" i="1"/>
  <c r="P177" i="1"/>
  <c r="H177" i="1"/>
  <c r="U176" i="1"/>
  <c r="M176" i="1"/>
  <c r="E176" i="1"/>
  <c r="R175" i="1"/>
  <c r="J175" i="1"/>
  <c r="W174" i="1"/>
  <c r="M174" i="1"/>
  <c r="V173" i="1"/>
  <c r="H173" i="1"/>
  <c r="P172" i="1"/>
  <c r="D172" i="1"/>
  <c r="L171" i="1"/>
  <c r="U170" i="1"/>
  <c r="G170" i="1"/>
  <c r="O169" i="1"/>
  <c r="T168" i="1"/>
  <c r="D168" i="1"/>
  <c r="I167" i="1"/>
  <c r="N166" i="1"/>
  <c r="S165" i="1"/>
  <c r="X164" i="1"/>
  <c r="H164" i="1"/>
  <c r="K163" i="1"/>
  <c r="E167" i="1"/>
  <c r="J166" i="1"/>
  <c r="O165" i="1"/>
  <c r="T164" i="1"/>
  <c r="D164" i="1"/>
  <c r="E180" i="1"/>
  <c r="R179" i="1"/>
  <c r="J179" i="1"/>
  <c r="W178" i="1"/>
  <c r="O178" i="1"/>
  <c r="G178" i="1"/>
  <c r="T177" i="1"/>
  <c r="L177" i="1"/>
  <c r="D177" i="1"/>
  <c r="Q176" i="1"/>
  <c r="I176" i="1"/>
  <c r="V175" i="1"/>
  <c r="N175" i="1"/>
  <c r="F175" i="1"/>
  <c r="S174" i="1"/>
  <c r="F174" i="1"/>
  <c r="O173" i="1"/>
  <c r="W172" i="1"/>
  <c r="K172" i="1"/>
  <c r="R171" i="1"/>
  <c r="E171" i="1"/>
  <c r="N170" i="1"/>
  <c r="V169" i="1"/>
  <c r="G169" i="1"/>
  <c r="L168" i="1"/>
  <c r="Q167" i="1"/>
  <c r="V166" i="1"/>
  <c r="F166" i="1"/>
  <c r="K165" i="1"/>
  <c r="P164" i="1"/>
  <c r="L174" i="1"/>
  <c r="D174" i="1"/>
  <c r="Q173" i="1"/>
  <c r="I173" i="1"/>
  <c r="V172" i="1"/>
  <c r="N172" i="1"/>
  <c r="F172" i="1"/>
  <c r="S171" i="1"/>
  <c r="K171" i="1"/>
  <c r="X170" i="1"/>
  <c r="P170" i="1"/>
  <c r="H170" i="1"/>
  <c r="U169" i="1"/>
  <c r="M169" i="1"/>
  <c r="E169" i="1"/>
  <c r="R168" i="1"/>
  <c r="J168" i="1"/>
  <c r="W167" i="1"/>
  <c r="O167" i="1"/>
  <c r="G167" i="1"/>
  <c r="T166" i="1"/>
  <c r="L166" i="1"/>
  <c r="D166" i="1"/>
  <c r="Q165" i="1"/>
  <c r="I165" i="1"/>
  <c r="V164" i="1"/>
  <c r="N164" i="1"/>
  <c r="F164" i="1"/>
  <c r="F138" i="1" s="1"/>
  <c r="F112" i="1" s="1"/>
  <c r="S163" i="1"/>
  <c r="G163" i="1"/>
  <c r="E163" i="1"/>
  <c r="J169" i="1"/>
  <c r="W168" i="1"/>
  <c r="O168" i="1"/>
  <c r="G168" i="1"/>
  <c r="T167" i="1"/>
  <c r="L167" i="1"/>
  <c r="D167" i="1"/>
  <c r="Q166" i="1"/>
  <c r="I166" i="1"/>
  <c r="V165" i="1"/>
  <c r="N165" i="1"/>
  <c r="F165" i="1"/>
  <c r="S164" i="1"/>
  <c r="K164" i="1"/>
  <c r="X163" i="1"/>
  <c r="N163" i="1"/>
  <c r="D109" i="1"/>
  <c r="P174" i="1"/>
  <c r="H174" i="1"/>
  <c r="U173" i="1"/>
  <c r="M173" i="1"/>
  <c r="E173" i="1"/>
  <c r="R172" i="1"/>
  <c r="J172" i="1"/>
  <c r="W171" i="1"/>
  <c r="O171" i="1"/>
  <c r="G171" i="1"/>
  <c r="T170" i="1"/>
  <c r="L170" i="1"/>
  <c r="D170" i="1"/>
  <c r="Q169" i="1"/>
  <c r="I169" i="1"/>
  <c r="V168" i="1"/>
  <c r="N168" i="1"/>
  <c r="F168" i="1"/>
  <c r="S167" i="1"/>
  <c r="K167" i="1"/>
  <c r="X166" i="1"/>
  <c r="P166" i="1"/>
  <c r="H166" i="1"/>
  <c r="U165" i="1"/>
  <c r="M165" i="1"/>
  <c r="E165" i="1"/>
  <c r="R164" i="1"/>
  <c r="J164" i="1"/>
  <c r="W163" i="1"/>
  <c r="M163" i="1"/>
  <c r="O174" i="1"/>
  <c r="G174" i="1"/>
  <c r="T173" i="1"/>
  <c r="L173" i="1"/>
  <c r="D173" i="1"/>
  <c r="Q172" i="1"/>
  <c r="I172" i="1"/>
  <c r="V171" i="1"/>
  <c r="N171" i="1"/>
  <c r="F171" i="1"/>
  <c r="S170" i="1"/>
  <c r="K170" i="1"/>
  <c r="X169" i="1"/>
  <c r="P169" i="1"/>
  <c r="H169" i="1"/>
  <c r="U168" i="1"/>
  <c r="M168" i="1"/>
  <c r="E168" i="1"/>
  <c r="R167" i="1"/>
  <c r="J167" i="1"/>
  <c r="W166" i="1"/>
  <c r="O166" i="1"/>
  <c r="G166" i="1"/>
  <c r="T165" i="1"/>
  <c r="L165" i="1"/>
  <c r="D165" i="1"/>
  <c r="Q164" i="1"/>
  <c r="I164" i="1"/>
  <c r="V163" i="1"/>
  <c r="D163" i="1"/>
  <c r="R163" i="1"/>
  <c r="J163" i="1"/>
  <c r="Q163" i="1"/>
  <c r="O111" i="1"/>
  <c r="K116" i="1"/>
  <c r="H115" i="1"/>
  <c r="E114" i="1"/>
  <c r="J113" i="1"/>
  <c r="W112" i="1"/>
  <c r="O112" i="1"/>
  <c r="T111" i="1"/>
  <c r="I6" i="1"/>
  <c r="I7" i="1"/>
  <c r="I8" i="1"/>
  <c r="I9" i="1"/>
  <c r="I10" i="1"/>
  <c r="I11" i="1"/>
  <c r="I12" i="1"/>
  <c r="H6" i="1"/>
  <c r="AJ6" i="1" s="1"/>
  <c r="H7" i="1"/>
  <c r="AJ7" i="1" s="1"/>
  <c r="H8" i="1"/>
  <c r="AJ8" i="1" s="1"/>
  <c r="H9" i="1"/>
  <c r="AJ9" i="1" s="1"/>
  <c r="H10" i="1"/>
  <c r="AJ10" i="1" s="1"/>
  <c r="H11" i="1"/>
  <c r="AJ11" i="1" s="1"/>
  <c r="H12" i="1"/>
  <c r="AJ12" i="1" s="1"/>
  <c r="H5" i="1"/>
  <c r="AJ5" i="1" s="1"/>
  <c r="G6" i="1"/>
  <c r="G7" i="1"/>
  <c r="G8" i="1"/>
  <c r="G9" i="1"/>
  <c r="G10" i="1"/>
  <c r="G11" i="1"/>
  <c r="G12" i="1"/>
  <c r="G5" i="1"/>
  <c r="I5" i="1"/>
  <c r="L147" i="1" l="1"/>
  <c r="L121" i="1" s="1"/>
  <c r="O142" i="1"/>
  <c r="O116" i="1" s="1"/>
  <c r="F148" i="1"/>
  <c r="F122" i="1" s="1"/>
  <c r="S152" i="1"/>
  <c r="S126" i="1" s="1"/>
  <c r="F150" i="1"/>
  <c r="F124" i="1" s="1"/>
  <c r="S144" i="1"/>
  <c r="S118" i="1" s="1"/>
  <c r="P148" i="1"/>
  <c r="P122" i="1" s="1"/>
  <c r="K145" i="1"/>
  <c r="K119" i="1" s="1"/>
  <c r="N140" i="1"/>
  <c r="N114" i="1" s="1"/>
  <c r="N141" i="1"/>
  <c r="N115" i="1" s="1"/>
  <c r="U140" i="1"/>
  <c r="U114" i="1" s="1"/>
  <c r="N145" i="1"/>
  <c r="N119" i="1" s="1"/>
  <c r="Q140" i="1"/>
  <c r="Q114" i="1" s="1"/>
  <c r="F146" i="1"/>
  <c r="F120" i="1" s="1"/>
  <c r="J140" i="1"/>
  <c r="J114" i="1" s="1"/>
  <c r="V153" i="1"/>
  <c r="V127" i="1" s="1"/>
  <c r="I149" i="1"/>
  <c r="I123" i="1" s="1"/>
  <c r="J137" i="1"/>
  <c r="J111" i="1" s="1"/>
  <c r="M137" i="1"/>
  <c r="M111" i="1" s="1"/>
  <c r="D141" i="1"/>
  <c r="D115" i="1" s="1"/>
  <c r="D137" i="1"/>
  <c r="D111" i="1" s="1"/>
  <c r="P143" i="1"/>
  <c r="P117" i="1" s="1"/>
  <c r="V137" i="1"/>
  <c r="V111" i="1" s="1"/>
  <c r="W140" i="1"/>
  <c r="W114" i="1" s="1"/>
  <c r="X143" i="1"/>
  <c r="X117" i="1" s="1"/>
  <c r="D147" i="1"/>
  <c r="D121" i="1" s="1"/>
  <c r="R138" i="1"/>
  <c r="R112" i="1" s="1"/>
  <c r="S141" i="1"/>
  <c r="S115" i="1" s="1"/>
  <c r="T144" i="1"/>
  <c r="T118" i="1" s="1"/>
  <c r="U147" i="1"/>
  <c r="U121" i="1" s="1"/>
  <c r="F139" i="1"/>
  <c r="F113" i="1" s="1"/>
  <c r="G142" i="1"/>
  <c r="G116" i="1" s="1"/>
  <c r="N138" i="1"/>
  <c r="N112" i="1" s="1"/>
  <c r="O141" i="1"/>
  <c r="O115" i="1" s="1"/>
  <c r="P144" i="1"/>
  <c r="P118" i="1" s="1"/>
  <c r="Q147" i="1"/>
  <c r="Q121" i="1" s="1"/>
  <c r="L142" i="1"/>
  <c r="L116" i="1" s="1"/>
  <c r="O147" i="1"/>
  <c r="O121" i="1" s="1"/>
  <c r="D151" i="1"/>
  <c r="D125" i="1" s="1"/>
  <c r="E154" i="1"/>
  <c r="E128" i="1" s="1"/>
  <c r="X138" i="1"/>
  <c r="X112" i="1" s="1"/>
  <c r="U144" i="1"/>
  <c r="U118" i="1" s="1"/>
  <c r="J149" i="1"/>
  <c r="J123" i="1" s="1"/>
  <c r="K152" i="1"/>
  <c r="K126" i="1" s="1"/>
  <c r="G139" i="1"/>
  <c r="G113" i="1" s="1"/>
  <c r="T146" i="1"/>
  <c r="T120" i="1" s="1"/>
  <c r="O151" i="1"/>
  <c r="O125" i="1" s="1"/>
  <c r="R143" i="1"/>
  <c r="R117" i="1" s="1"/>
  <c r="P149" i="1"/>
  <c r="P123" i="1" s="1"/>
  <c r="M138" i="1"/>
  <c r="M112" i="1" s="1"/>
  <c r="L146" i="1"/>
  <c r="L120" i="1" s="1"/>
  <c r="K144" i="1"/>
  <c r="K118" i="1" s="1"/>
  <c r="W141" i="1"/>
  <c r="W115" i="1" s="1"/>
  <c r="S139" i="1"/>
  <c r="S113" i="1" s="1"/>
  <c r="R139" i="1"/>
  <c r="R113" i="1" s="1"/>
  <c r="O145" i="1"/>
  <c r="O119" i="1" s="1"/>
  <c r="I138" i="1"/>
  <c r="I112" i="1" s="1"/>
  <c r="G145" i="1"/>
  <c r="G119" i="1" s="1"/>
  <c r="V138" i="1"/>
  <c r="V112" i="1" s="1"/>
  <c r="L151" i="1"/>
  <c r="L125" i="1" s="1"/>
  <c r="K140" i="1"/>
  <c r="K114" i="1" s="1"/>
  <c r="G147" i="1"/>
  <c r="G121" i="1" s="1"/>
  <c r="T147" i="1"/>
  <c r="T121" i="1" s="1"/>
  <c r="V139" i="1"/>
  <c r="V113" i="1" s="1"/>
  <c r="L148" i="1"/>
  <c r="L122" i="1" s="1"/>
  <c r="D146" i="1"/>
  <c r="D120" i="1" s="1"/>
  <c r="K148" i="1"/>
  <c r="K122" i="1" s="1"/>
  <c r="X147" i="1"/>
  <c r="X121" i="1" s="1"/>
  <c r="D139" i="1"/>
  <c r="D113" i="1" s="1"/>
  <c r="E142" i="1"/>
  <c r="E116" i="1" s="1"/>
  <c r="F145" i="1"/>
  <c r="F119" i="1" s="1"/>
  <c r="G148" i="1"/>
  <c r="G122" i="1" s="1"/>
  <c r="U139" i="1"/>
  <c r="U113" i="1" s="1"/>
  <c r="V142" i="1"/>
  <c r="V116" i="1" s="1"/>
  <c r="W145" i="1"/>
  <c r="W119" i="1" s="1"/>
  <c r="I140" i="1"/>
  <c r="I114" i="1" s="1"/>
  <c r="J143" i="1"/>
  <c r="J117" i="1" s="1"/>
  <c r="Q139" i="1"/>
  <c r="Q113" i="1" s="1"/>
  <c r="R142" i="1"/>
  <c r="R116" i="1" s="1"/>
  <c r="S145" i="1"/>
  <c r="S119" i="1" s="1"/>
  <c r="P138" i="1"/>
  <c r="P112" i="1" s="1"/>
  <c r="N144" i="1"/>
  <c r="N118" i="1" s="1"/>
  <c r="F149" i="1"/>
  <c r="F123" i="1" s="1"/>
  <c r="G152" i="1"/>
  <c r="G126" i="1" s="1"/>
  <c r="O139" i="1"/>
  <c r="O113" i="1" s="1"/>
  <c r="I141" i="1"/>
  <c r="I115" i="1" s="1"/>
  <c r="P146" i="1"/>
  <c r="P120" i="1" s="1"/>
  <c r="M150" i="1"/>
  <c r="M124" i="1" s="1"/>
  <c r="N153" i="1"/>
  <c r="N127" i="1" s="1"/>
  <c r="P142" i="1"/>
  <c r="P116" i="1" s="1"/>
  <c r="D149" i="1"/>
  <c r="D123" i="1" s="1"/>
  <c r="E138" i="1"/>
  <c r="E112" i="1" s="1"/>
  <c r="E146" i="1"/>
  <c r="E120" i="1" s="1"/>
  <c r="F151" i="1"/>
  <c r="F125" i="1" s="1"/>
  <c r="X141" i="1"/>
  <c r="X115" i="1" s="1"/>
  <c r="T148" i="1"/>
  <c r="T122" i="1" s="1"/>
  <c r="Q138" i="1"/>
  <c r="Q112" i="1" s="1"/>
  <c r="I139" i="1"/>
  <c r="I113" i="1" s="1"/>
  <c r="T138" i="1"/>
  <c r="T112" i="1" s="1"/>
  <c r="I137" i="1"/>
  <c r="I111" i="1" s="1"/>
  <c r="I143" i="1"/>
  <c r="I117" i="1" s="1"/>
  <c r="K139" i="1"/>
  <c r="K113" i="1" s="1"/>
  <c r="U150" i="1"/>
  <c r="U124" i="1" s="1"/>
  <c r="H139" i="1"/>
  <c r="H113" i="1" s="1"/>
  <c r="G138" i="1"/>
  <c r="G112" i="1" s="1"/>
  <c r="E139" i="1"/>
  <c r="E113" i="1" s="1"/>
  <c r="D148" i="1"/>
  <c r="D122" i="1" s="1"/>
  <c r="P147" i="1"/>
  <c r="P121" i="1" s="1"/>
  <c r="R141" i="1"/>
  <c r="R115" i="1" s="1"/>
  <c r="T151" i="1"/>
  <c r="T125" i="1" s="1"/>
  <c r="Q137" i="1"/>
  <c r="Q111" i="1" s="1"/>
  <c r="H140" i="1"/>
  <c r="H114" i="1" s="1"/>
  <c r="E137" i="1"/>
  <c r="E111" i="1" s="1"/>
  <c r="O152" i="1"/>
  <c r="O126" i="1" s="1"/>
  <c r="U146" i="1"/>
  <c r="U120" i="1" s="1"/>
  <c r="T139" i="1"/>
  <c r="T113" i="1" s="1"/>
  <c r="P140" i="1"/>
  <c r="P114" i="1" s="1"/>
  <c r="X137" i="1"/>
  <c r="X111" i="1" s="1"/>
  <c r="G137" i="1"/>
  <c r="G111" i="1" s="1"/>
  <c r="L140" i="1"/>
  <c r="L114" i="1" s="1"/>
  <c r="M143" i="1"/>
  <c r="M117" i="1" s="1"/>
  <c r="N146" i="1"/>
  <c r="N120" i="1" s="1"/>
  <c r="F140" i="1"/>
  <c r="F114" i="1" s="1"/>
  <c r="R145" i="1"/>
  <c r="R119" i="1" s="1"/>
  <c r="V149" i="1"/>
  <c r="V123" i="1" s="1"/>
  <c r="W152" i="1"/>
  <c r="W126" i="1" s="1"/>
  <c r="E141" i="1"/>
  <c r="E115" i="1" s="1"/>
  <c r="T142" i="1"/>
  <c r="T116" i="1" s="1"/>
  <c r="V147" i="1"/>
  <c r="V121" i="1" s="1"/>
  <c r="H151" i="1"/>
  <c r="H125" i="1" s="1"/>
  <c r="I154" i="1"/>
  <c r="I128" i="1" s="1"/>
  <c r="J144" i="1"/>
  <c r="J118" i="1" s="1"/>
  <c r="D150" i="1"/>
  <c r="D124" i="1" s="1"/>
  <c r="M140" i="1"/>
  <c r="M114" i="1" s="1"/>
  <c r="R147" i="1"/>
  <c r="R121" i="1" s="1"/>
  <c r="L138" i="1"/>
  <c r="L112" i="1" s="1"/>
  <c r="W143" i="1"/>
  <c r="W117" i="1" s="1"/>
  <c r="F142" i="1"/>
  <c r="F116" i="1" s="1"/>
  <c r="N139" i="1"/>
  <c r="N113" i="1" s="1"/>
  <c r="G143" i="1"/>
  <c r="G117" i="1" s="1"/>
  <c r="L145" i="1"/>
  <c r="L119" i="1" s="1"/>
  <c r="E152" i="1"/>
  <c r="E126" i="1" s="1"/>
  <c r="N142" i="1"/>
  <c r="N116" i="1" s="1"/>
  <c r="J142" i="1"/>
  <c r="J116" i="1" s="1"/>
  <c r="S148" i="1"/>
  <c r="S122" i="1" s="1"/>
  <c r="F153" i="1"/>
  <c r="F127" i="1" s="1"/>
  <c r="P150" i="1"/>
  <c r="P124" i="1" s="1"/>
  <c r="L139" i="1"/>
  <c r="L113" i="1" s="1"/>
  <c r="O148" i="1"/>
  <c r="O122" i="1" s="1"/>
  <c r="N137" i="1"/>
  <c r="N111" i="1" s="1"/>
  <c r="E143" i="1"/>
  <c r="E117" i="1" s="1"/>
  <c r="N149" i="1"/>
  <c r="N123" i="1" s="1"/>
  <c r="D142" i="1"/>
  <c r="D116" i="1" s="1"/>
  <c r="N143" i="1"/>
  <c r="N117" i="1" s="1"/>
  <c r="U142" i="1"/>
  <c r="U116" i="1" s="1"/>
  <c r="R146" i="1"/>
  <c r="R120" i="1" s="1"/>
  <c r="R137" i="1"/>
  <c r="R111" i="1" s="1"/>
  <c r="G140" i="1"/>
  <c r="G114" i="1" s="1"/>
  <c r="H143" i="1"/>
  <c r="H117" i="1" s="1"/>
  <c r="I146" i="1"/>
  <c r="I120" i="1" s="1"/>
  <c r="W137" i="1"/>
  <c r="W111" i="1" s="1"/>
  <c r="X140" i="1"/>
  <c r="X114" i="1" s="1"/>
  <c r="D144" i="1"/>
  <c r="D118" i="1" s="1"/>
  <c r="E147" i="1"/>
  <c r="E121" i="1" s="1"/>
  <c r="K138" i="1"/>
  <c r="K112" i="1" s="1"/>
  <c r="L141" i="1"/>
  <c r="L115" i="1" s="1"/>
  <c r="S137" i="1"/>
  <c r="S111" i="1" s="1"/>
  <c r="T140" i="1"/>
  <c r="T114" i="1" s="1"/>
  <c r="U143" i="1"/>
  <c r="U117" i="1" s="1"/>
  <c r="V146" i="1"/>
  <c r="V120" i="1" s="1"/>
  <c r="V140" i="1"/>
  <c r="V114" i="1" s="1"/>
  <c r="K146" i="1"/>
  <c r="K120" i="1" s="1"/>
  <c r="I150" i="1"/>
  <c r="I124" i="1" s="1"/>
  <c r="J153" i="1"/>
  <c r="J127" i="1" s="1"/>
  <c r="K137" i="1"/>
  <c r="K111" i="1" s="1"/>
  <c r="O143" i="1"/>
  <c r="O117" i="1" s="1"/>
  <c r="M148" i="1"/>
  <c r="M122" i="1" s="1"/>
  <c r="P151" i="1"/>
  <c r="P125" i="1" s="1"/>
  <c r="U137" i="1"/>
  <c r="U111" i="1" s="1"/>
  <c r="H145" i="1"/>
  <c r="H119" i="1" s="1"/>
  <c r="O150" i="1"/>
  <c r="O124" i="1" s="1"/>
  <c r="P141" i="1"/>
  <c r="P115" i="1" s="1"/>
  <c r="N148" i="1"/>
  <c r="N122" i="1" s="1"/>
  <c r="P139" i="1"/>
  <c r="P113" i="1" s="1"/>
  <c r="R144" i="1"/>
  <c r="R118" i="1" s="1"/>
  <c r="J141" i="1"/>
  <c r="J115" i="1" s="1"/>
  <c r="H148" i="1"/>
  <c r="H122" i="1" s="1"/>
  <c r="X144" i="1"/>
  <c r="X118" i="1" s="1"/>
  <c r="D138" i="1"/>
  <c r="D112" i="1" s="1"/>
  <c r="R149" i="1"/>
  <c r="R123" i="1" s="1"/>
  <c r="M144" i="1"/>
  <c r="M118" i="1" s="1"/>
  <c r="M139" i="1"/>
  <c r="M113" i="1" s="1"/>
  <c r="W142" i="1"/>
  <c r="W116" i="1" s="1"/>
  <c r="V143" i="1"/>
  <c r="V117" i="1" s="1"/>
  <c r="E150" i="1"/>
  <c r="E124" i="1" s="1"/>
  <c r="I145" i="1"/>
  <c r="I119" i="1" s="1"/>
  <c r="M142" i="1"/>
  <c r="M116" i="1" s="1"/>
  <c r="J146" i="1"/>
  <c r="J120" i="1" s="1"/>
  <c r="D140" i="1"/>
  <c r="D114" i="1" s="1"/>
  <c r="E145" i="1"/>
  <c r="E119" i="1" s="1"/>
  <c r="H147" i="1"/>
  <c r="H121" i="1" s="1"/>
  <c r="O149" i="1"/>
  <c r="O123" i="1" s="1"/>
  <c r="D143" i="1"/>
  <c r="D117" i="1" s="1"/>
  <c r="V145" i="1"/>
  <c r="V119" i="1" s="1"/>
  <c r="Q143" i="1"/>
  <c r="Q117" i="1" s="1"/>
  <c r="O140" i="1"/>
  <c r="O114" i="1" s="1"/>
  <c r="Q146" i="1"/>
  <c r="Q120" i="1" s="1"/>
  <c r="J138" i="1"/>
  <c r="J112" i="1" s="1"/>
  <c r="K141" i="1"/>
  <c r="K115" i="1" s="1"/>
  <c r="L144" i="1"/>
  <c r="L118" i="1" s="1"/>
  <c r="M147" i="1"/>
  <c r="M121" i="1" s="1"/>
  <c r="S138" i="1"/>
  <c r="S112" i="1" s="1"/>
  <c r="T141" i="1"/>
  <c r="T115" i="1" s="1"/>
  <c r="G141" i="1"/>
  <c r="G115" i="1" s="1"/>
  <c r="H144" i="1"/>
  <c r="H118" i="1" s="1"/>
  <c r="I147" i="1"/>
  <c r="I121" i="1" s="1"/>
  <c r="Q141" i="1"/>
  <c r="Q115" i="1" s="1"/>
  <c r="W146" i="1"/>
  <c r="W120" i="1" s="1"/>
  <c r="Q150" i="1"/>
  <c r="Q124" i="1" s="1"/>
  <c r="R153" i="1"/>
  <c r="R127" i="1" s="1"/>
  <c r="H138" i="1"/>
  <c r="H112" i="1" s="1"/>
  <c r="G144" i="1"/>
  <c r="G118" i="1" s="1"/>
  <c r="W148" i="1"/>
  <c r="W122" i="1" s="1"/>
  <c r="X151" i="1"/>
  <c r="X125" i="1" s="1"/>
  <c r="L137" i="1"/>
  <c r="L111" i="1" s="1"/>
  <c r="X145" i="1"/>
  <c r="X119" i="1" s="1"/>
  <c r="E151" i="1"/>
  <c r="E125" i="1" s="1"/>
  <c r="Q142" i="1"/>
  <c r="Q116" i="1" s="1"/>
  <c r="E149" i="1"/>
  <c r="E123" i="1" s="1"/>
  <c r="F137" i="1"/>
  <c r="F111" i="1" s="1"/>
  <c r="P145" i="1"/>
  <c r="P119" i="1" s="1"/>
  <c r="U5" i="1"/>
  <c r="R5" i="1" s="1"/>
  <c r="AX6" i="1"/>
  <c r="U6" i="1"/>
  <c r="AX5" i="1"/>
  <c r="AX12" i="1"/>
  <c r="U12" i="1"/>
  <c r="R12" i="1" s="1"/>
  <c r="AX7" i="1"/>
  <c r="U7" i="1"/>
  <c r="R7" i="1" s="1"/>
  <c r="AX11" i="1"/>
  <c r="U11" i="1"/>
  <c r="R11" i="1" s="1"/>
  <c r="AX10" i="1"/>
  <c r="U10" i="1"/>
  <c r="R10" i="1" s="1"/>
  <c r="AX9" i="1"/>
  <c r="U9" i="1"/>
  <c r="R9" i="1" s="1"/>
  <c r="AX8" i="1"/>
  <c r="U8" i="1"/>
  <c r="R8" i="1" s="1"/>
  <c r="R6" i="1" l="1"/>
  <c r="T6" i="1" s="1"/>
  <c r="K6" i="1" s="1"/>
  <c r="M6" i="1" s="1"/>
  <c r="T5" i="1"/>
  <c r="AY8" i="1"/>
  <c r="AK8" i="1"/>
  <c r="T8" i="1"/>
  <c r="AR8" i="1"/>
  <c r="Y8" i="1"/>
  <c r="Y7" i="1"/>
  <c r="AK7" i="1"/>
  <c r="AR7" i="1"/>
  <c r="AY7" i="1"/>
  <c r="T7" i="1"/>
  <c r="K7" i="1" s="1"/>
  <c r="M7" i="1" s="1"/>
  <c r="AK12" i="1"/>
  <c r="T12" i="1"/>
  <c r="AY12" i="1"/>
  <c r="Y12" i="1"/>
  <c r="AR12" i="1"/>
  <c r="T10" i="1"/>
  <c r="Y10" i="1"/>
  <c r="AK10" i="1"/>
  <c r="AY10" i="1"/>
  <c r="AR10" i="1"/>
  <c r="AR5" i="1"/>
  <c r="AK5" i="1"/>
  <c r="AY5" i="1"/>
  <c r="Y5" i="1"/>
  <c r="AR11" i="1"/>
  <c r="AY11" i="1"/>
  <c r="AK11" i="1"/>
  <c r="T11" i="1"/>
  <c r="Y11" i="1"/>
  <c r="AR6" i="1"/>
  <c r="AK6" i="1"/>
  <c r="Y6" i="1"/>
  <c r="AY6" i="1"/>
  <c r="AK9" i="1"/>
  <c r="AR9" i="1"/>
  <c r="AY9" i="1"/>
  <c r="T9" i="1"/>
  <c r="Y9" i="1"/>
  <c r="AA12" i="1" l="1"/>
  <c r="BB12" i="1"/>
  <c r="BA12" i="1"/>
  <c r="K12" i="1"/>
  <c r="M12" i="1" s="1"/>
  <c r="Z12" i="1"/>
  <c r="AM12" i="1"/>
  <c r="AT12" i="1"/>
  <c r="AE12" i="1"/>
  <c r="AU12" i="1"/>
  <c r="AF12" i="1"/>
  <c r="AN12" i="1"/>
  <c r="AU6" i="1"/>
  <c r="AN6" i="1"/>
  <c r="AE6" i="1"/>
  <c r="BB6" i="1"/>
  <c r="AA6" i="1"/>
  <c r="Z6" i="1"/>
  <c r="AF6" i="1"/>
  <c r="BA6" i="1"/>
  <c r="AM6" i="1"/>
  <c r="AT6" i="1"/>
  <c r="AM5" i="1"/>
  <c r="K5" i="1"/>
  <c r="AT5" i="1"/>
  <c r="BB5" i="1"/>
  <c r="BA5" i="1"/>
  <c r="AU5" i="1"/>
  <c r="Z5" i="1"/>
  <c r="AN5" i="1"/>
  <c r="AF5" i="1"/>
  <c r="AE5" i="1"/>
  <c r="AA5" i="1"/>
  <c r="AF7" i="1"/>
  <c r="BA7" i="1"/>
  <c r="AE7" i="1"/>
  <c r="AM7" i="1"/>
  <c r="AT7" i="1"/>
  <c r="Z7" i="1"/>
  <c r="BB7" i="1"/>
  <c r="AU7" i="1"/>
  <c r="AN7" i="1"/>
  <c r="AA7" i="1"/>
  <c r="AA11" i="1"/>
  <c r="BA11" i="1"/>
  <c r="K11" i="1"/>
  <c r="M11" i="1" s="1"/>
  <c r="AM11" i="1"/>
  <c r="AN11" i="1"/>
  <c r="AT11" i="1"/>
  <c r="BB11" i="1"/>
  <c r="Z11" i="1"/>
  <c r="AU11" i="1"/>
  <c r="AF11" i="1"/>
  <c r="AE11" i="1"/>
  <c r="AT10" i="1"/>
  <c r="BB10" i="1"/>
  <c r="AN10" i="1"/>
  <c r="Z10" i="1"/>
  <c r="AU10" i="1"/>
  <c r="AF10" i="1"/>
  <c r="AE10" i="1"/>
  <c r="AA10" i="1"/>
  <c r="AM10" i="1"/>
  <c r="BA10" i="1"/>
  <c r="K10" i="1"/>
  <c r="M10" i="1" s="1"/>
  <c r="AA9" i="1"/>
  <c r="AF9" i="1"/>
  <c r="BA9" i="1"/>
  <c r="AN9" i="1"/>
  <c r="AT9" i="1"/>
  <c r="AE9" i="1"/>
  <c r="AM9" i="1"/>
  <c r="K9" i="1"/>
  <c r="M9" i="1" s="1"/>
  <c r="BB9" i="1"/>
  <c r="AU9" i="1"/>
  <c r="Z9" i="1"/>
  <c r="AF8" i="1"/>
  <c r="BA8" i="1"/>
  <c r="AM8" i="1"/>
  <c r="AE8" i="1"/>
  <c r="K8" i="1"/>
  <c r="M8" i="1" s="1"/>
  <c r="AT8" i="1"/>
  <c r="Z8" i="1"/>
  <c r="BB8" i="1"/>
  <c r="AN8" i="1"/>
  <c r="AU8" i="1"/>
  <c r="AA8" i="1"/>
  <c r="AW9" i="1" l="1"/>
  <c r="AW6" i="1"/>
  <c r="AW8" i="1"/>
  <c r="AI8" i="1"/>
  <c r="X11" i="1"/>
  <c r="AC12" i="1"/>
  <c r="AW12" i="1"/>
  <c r="X8" i="1"/>
  <c r="AI9" i="1"/>
  <c r="AC10" i="1"/>
  <c r="AC8" i="1"/>
  <c r="AP7" i="1"/>
  <c r="AW11" i="1"/>
  <c r="AC7" i="1"/>
  <c r="X12" i="1"/>
  <c r="AI12" i="1"/>
  <c r="X10" i="1"/>
  <c r="X7" i="1"/>
  <c r="X6" i="1"/>
  <c r="AP10" i="1"/>
  <c r="AW10" i="1"/>
  <c r="AC11" i="1"/>
  <c r="AC9" i="1"/>
  <c r="AP9" i="1"/>
  <c r="AP11" i="1"/>
  <c r="AC5" i="1"/>
  <c r="AI5" i="1"/>
  <c r="AP5" i="1"/>
  <c r="AI10" i="1"/>
  <c r="X9" i="1"/>
  <c r="AI7" i="1"/>
  <c r="X5" i="1"/>
  <c r="AP6" i="1"/>
  <c r="AP8" i="1"/>
  <c r="AI11" i="1"/>
  <c r="AW7" i="1"/>
  <c r="AC6" i="1"/>
  <c r="AP12" i="1"/>
  <c r="AW5" i="1"/>
  <c r="AI6" i="1"/>
  <c r="Y14" i="1" l="1"/>
  <c r="AA14" i="1" s="1"/>
  <c r="AX14" i="1"/>
  <c r="BB14" i="1" s="1"/>
  <c r="AJ14" i="1"/>
  <c r="AN14" i="1" s="1"/>
  <c r="AQ14" i="1"/>
  <c r="AU14" i="1" s="1"/>
  <c r="AD14" i="1"/>
  <c r="AF14" i="1" s="1"/>
</calcChain>
</file>

<file path=xl/sharedStrings.xml><?xml version="1.0" encoding="utf-8"?>
<sst xmlns="http://schemas.openxmlformats.org/spreadsheetml/2006/main" count="143" uniqueCount="82">
  <si>
    <t>x1</t>
  </si>
  <si>
    <t>y</t>
  </si>
  <si>
    <t>x2</t>
  </si>
  <si>
    <t>Normalised Data</t>
  </si>
  <si>
    <t>w1</t>
  </si>
  <si>
    <t>w2</t>
  </si>
  <si>
    <t>w3</t>
  </si>
  <si>
    <t>b1</t>
  </si>
  <si>
    <t>b2</t>
  </si>
  <si>
    <t>a2</t>
  </si>
  <si>
    <t>z2</t>
  </si>
  <si>
    <t>z1</t>
  </si>
  <si>
    <t>a1</t>
  </si>
  <si>
    <t>Prediction</t>
  </si>
  <si>
    <t>dC/dw3</t>
  </si>
  <si>
    <t>da2/dz2</t>
  </si>
  <si>
    <t>Cost</t>
  </si>
  <si>
    <t>dC/db3</t>
  </si>
  <si>
    <t>dz2/db2</t>
  </si>
  <si>
    <t>C = \sum_{i=1}^{n} (a2_{i} - y_{i})^2</t>
  </si>
  <si>
    <t>.</t>
  </si>
  <si>
    <t xml:space="preserve">z2 = (a1 * w3) + b3 </t>
  </si>
  <si>
    <t>a2 = \sigma (z2)</t>
  </si>
  <si>
    <t xml:space="preserve">z1 = (x1 * w1) + b1 + (x2 * w2) + b2 </t>
  </si>
  <si>
    <t>\frac{da2}{dz2} = \sigma (z2). (1 - \sigma (z2))</t>
  </si>
  <si>
    <t>\frac{dC}{da2} = a(a2 - y)</t>
  </si>
  <si>
    <t>dz2/dw3</t>
  </si>
  <si>
    <t>\frac{dC}{dw3} = \frac{dz2}{dw3}.\frac{da2}{dz2}.\frac{dC}{da2}</t>
  </si>
  <si>
    <t>\frac{dz2}{dw3} = a1</t>
  </si>
  <si>
    <t>\frac{dC}{dw2} = \frac{dz1}{dw2}.\frac{da1}{dz1}.\frac{dz2}{da1}.\frac{da2}{dz2}.\frac{dC}{da2}</t>
  </si>
  <si>
    <t>\frac{dC}{dw1} = \frac{dz1}{dw1}.\frac{da1}{dz1}.\frac{dz2}{da1}.\frac{da2}{dz2}.\frac{dC}{da2}</t>
  </si>
  <si>
    <t>a1 = \sigma (z1)</t>
  </si>
  <si>
    <t>\sigma (z2) = \frac{1}{1 + e^{-z2}}</t>
  </si>
  <si>
    <t>\sigma (z1) = \frac{1}{1 + e^{-z1}}</t>
  </si>
  <si>
    <t>\frac{dz2}{da1} = w3</t>
  </si>
  <si>
    <t>\frac{da1}{dz1} = \sigma (z1). (1 - \sigma (z1))</t>
  </si>
  <si>
    <t>\frac{dz1}{dw2} = x2</t>
  </si>
  <si>
    <t>\frac{dz1}{db2} = 1</t>
  </si>
  <si>
    <t>\frac{dz1}{dw1} = x1</t>
  </si>
  <si>
    <t>dz2/da1</t>
  </si>
  <si>
    <t>da1/dz1</t>
  </si>
  <si>
    <t>dz1/dw2</t>
  </si>
  <si>
    <t>dC/dw2</t>
  </si>
  <si>
    <t>dC/da2</t>
  </si>
  <si>
    <t>dz1/db2</t>
  </si>
  <si>
    <t>dC/db2</t>
  </si>
  <si>
    <t>dz1/dw1</t>
  </si>
  <si>
    <t>dC/dw1</t>
  </si>
  <si>
    <t>Gradient:</t>
  </si>
  <si>
    <t>N.B./ Negative gradient means increase</t>
  </si>
  <si>
    <t>PREDICTION (a2)</t>
  </si>
  <si>
    <t>X1</t>
  </si>
  <si>
    <t>w3 iterations</t>
  </si>
  <si>
    <t>Weight</t>
  </si>
  <si>
    <t>Gradient</t>
  </si>
  <si>
    <t>w2 iterations</t>
  </si>
  <si>
    <t>b2 iterations</t>
  </si>
  <si>
    <t>w1 iterations</t>
  </si>
  <si>
    <t>b1 iterations</t>
  </si>
  <si>
    <t>Overall</t>
  </si>
  <si>
    <t>Bias</t>
  </si>
  <si>
    <t>Re-instantiate Model Weights</t>
  </si>
  <si>
    <t>Min Value</t>
  </si>
  <si>
    <t>Max Value</t>
  </si>
  <si>
    <t>Good Start</t>
  </si>
  <si>
    <t>Bad Start</t>
  </si>
  <si>
    <t>Solution</t>
  </si>
  <si>
    <t>Input / Training Data</t>
  </si>
  <si>
    <t>Evaluation Metrics</t>
  </si>
  <si>
    <t>Neurons</t>
  </si>
  <si>
    <t>Rate</t>
  </si>
  <si>
    <t>Learning</t>
  </si>
  <si>
    <t>Loss</t>
  </si>
  <si>
    <t>Equations</t>
  </si>
  <si>
    <t>New w2:</t>
  </si>
  <si>
    <t>New b2:</t>
  </si>
  <si>
    <t>New w3:</t>
  </si>
  <si>
    <t>New b1:</t>
  </si>
  <si>
    <t>New w1:</t>
  </si>
  <si>
    <t>\frac{dC}{db2} = \frac{dz2}{db2}.\frac{da2}{dz2}.\frac{dC}{da2}</t>
  </si>
  <si>
    <t>\frac{dz2}{db2} = 1</t>
  </si>
  <si>
    <t>\frac{dC}{db1} = \frac{dz1}{db1}.\frac{da1}{dz1}.\frac{dz2}{da1}.\frac{da2}{dz2}.\frac{dC}{da2}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</si>
</sst>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b/>
      <u/>
      <sz val="11"/>
      <color theme="1"/>
      <name val="Calibri"/>
      <family val="2"/>
      <scheme val="minor"/>
    </font>
    <font>
      <b/>
      <sz val="16"/>
      <color theme="1"/>
      <name val="Calibri"/>
      <family val="2"/>
      <scheme val="minor"/>
    </font>
    <font>
      <sz val="10"/>
      <color theme="1"/>
      <name val="Calibri"/>
      <family val="2"/>
      <scheme val="minor"/>
    </font>
    <font>
      <sz val="11"/>
      <color rgb="FF000000"/>
      <name val="Calibri"/>
      <family val="2"/>
    </font>
    <font>
      <b/>
      <sz val="12"/>
      <color rgb="FF000000"/>
      <name val="Calibri"/>
      <family val="2"/>
    </font>
  </fonts>
  <fills count="3">
    <fill>
      <patternFill patternType="none"/>
    </fill>
    <fill>
      <patternFill patternType="gray125"/>
    </fill>
    <fill>
      <patternFill patternType="solid">
        <fgColor rgb="FFF5FFF5"/>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1"/>
      </right>
      <top/>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theme="1"/>
      </top>
      <bottom/>
      <diagonal/>
    </border>
    <border>
      <left/>
      <right style="medium">
        <color theme="1"/>
      </right>
      <top style="medium">
        <color theme="1"/>
      </top>
      <bottom/>
      <diagonal/>
    </border>
    <border>
      <left style="medium">
        <color theme="1"/>
      </left>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right style="medium">
        <color indexed="64"/>
      </right>
      <top style="medium">
        <color theme="1"/>
      </top>
      <bottom/>
      <diagonal/>
    </border>
    <border>
      <left/>
      <right style="medium">
        <color indexed="64"/>
      </right>
      <top/>
      <bottom style="medium">
        <color theme="1"/>
      </bottom>
      <diagonal/>
    </border>
  </borders>
  <cellStyleXfs count="1">
    <xf numFmtId="0" fontId="0" fillId="0" borderId="0"/>
  </cellStyleXfs>
  <cellXfs count="93">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xf numFmtId="0" fontId="1" fillId="0" borderId="0" xfId="0" applyFont="1"/>
    <xf numFmtId="0" fontId="0" fillId="0" borderId="4" xfId="0" applyBorder="1"/>
    <xf numFmtId="0" fontId="0" fillId="0" borderId="0" xfId="0" applyBorder="1"/>
    <xf numFmtId="0" fontId="0" fillId="0" borderId="5" xfId="0" applyBorder="1"/>
    <xf numFmtId="2" fontId="0" fillId="0" borderId="4" xfId="0" applyNumberFormat="1" applyBorder="1"/>
    <xf numFmtId="2" fontId="0" fillId="0" borderId="0" xfId="0" applyNumberFormat="1" applyBorder="1"/>
    <xf numFmtId="2" fontId="0" fillId="0" borderId="5" xfId="0" applyNumberFormat="1" applyBorder="1"/>
    <xf numFmtId="2" fontId="1" fillId="0" borderId="6" xfId="0" applyNumberFormat="1" applyFont="1" applyBorder="1"/>
    <xf numFmtId="0" fontId="0" fillId="0" borderId="7" xfId="0" applyBorder="1"/>
    <xf numFmtId="0" fontId="1" fillId="0" borderId="7" xfId="0" applyFont="1" applyBorder="1"/>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0" borderId="9" xfId="0" applyBorder="1"/>
    <xf numFmtId="0" fontId="0" fillId="0" borderId="13" xfId="0" applyBorder="1"/>
    <xf numFmtId="0" fontId="0" fillId="0" borderId="14" xfId="0" applyBorder="1"/>
    <xf numFmtId="0" fontId="0" fillId="0" borderId="15" xfId="0" applyBorder="1"/>
    <xf numFmtId="0" fontId="0" fillId="0" borderId="17" xfId="0" applyBorder="1"/>
    <xf numFmtId="164" fontId="4" fillId="0" borderId="0" xfId="0" applyNumberFormat="1" applyFont="1" applyBorder="1"/>
    <xf numFmtId="2" fontId="4" fillId="0" borderId="0" xfId="0" applyNumberFormat="1" applyFont="1" applyBorder="1"/>
    <xf numFmtId="2" fontId="4" fillId="0" borderId="14" xfId="0" applyNumberFormat="1" applyFont="1" applyBorder="1"/>
    <xf numFmtId="2" fontId="4" fillId="0" borderId="17" xfId="0" applyNumberFormat="1" applyFont="1" applyBorder="1"/>
    <xf numFmtId="2" fontId="4" fillId="0" borderId="15" xfId="0" applyNumberFormat="1" applyFont="1" applyBorder="1"/>
    <xf numFmtId="2" fontId="4" fillId="0" borderId="18" xfId="0" applyNumberFormat="1" applyFont="1" applyBorder="1"/>
    <xf numFmtId="2" fontId="4" fillId="0" borderId="9" xfId="0" applyNumberFormat="1" applyFont="1" applyBorder="1"/>
    <xf numFmtId="2" fontId="4" fillId="0" borderId="19" xfId="0" applyNumberFormat="1" applyFont="1" applyBorder="1"/>
    <xf numFmtId="2" fontId="4" fillId="0" borderId="12" xfId="0" applyNumberFormat="1" applyFont="1" applyBorder="1"/>
    <xf numFmtId="2" fontId="4" fillId="0" borderId="13" xfId="0" applyNumberFormat="1" applyFont="1" applyBorder="1"/>
    <xf numFmtId="2" fontId="1" fillId="0" borderId="3" xfId="0" applyNumberFormat="1" applyFont="1" applyBorder="1"/>
    <xf numFmtId="2" fontId="1" fillId="0" borderId="8" xfId="0" applyNumberFormat="1" applyFont="1" applyBorder="1"/>
    <xf numFmtId="2" fontId="1" fillId="0" borderId="5" xfId="0" applyNumberFormat="1" applyFont="1" applyBorder="1"/>
    <xf numFmtId="0" fontId="0" fillId="0" borderId="0" xfId="0" applyAlignment="1"/>
    <xf numFmtId="0" fontId="1" fillId="0" borderId="4" xfId="0" applyFont="1" applyBorder="1"/>
    <xf numFmtId="0" fontId="0" fillId="0" borderId="6" xfId="0" applyBorder="1"/>
    <xf numFmtId="2" fontId="0" fillId="0" borderId="8" xfId="0" applyNumberFormat="1" applyBorder="1"/>
    <xf numFmtId="0" fontId="1" fillId="0" borderId="1" xfId="0" applyFont="1" applyBorder="1" applyAlignment="1"/>
    <xf numFmtId="0" fontId="1" fillId="0" borderId="2" xfId="0" applyFont="1" applyBorder="1" applyAlignment="1"/>
    <xf numFmtId="0" fontId="1" fillId="0" borderId="3" xfId="0" applyFont="1" applyBorder="1" applyAlignment="1"/>
    <xf numFmtId="0" fontId="0" fillId="0" borderId="4" xfId="0" applyFont="1" applyBorder="1"/>
    <xf numFmtId="0" fontId="0" fillId="0" borderId="6" xfId="0" applyFont="1" applyBorder="1"/>
    <xf numFmtId="0" fontId="1" fillId="0" borderId="0" xfId="0" applyFont="1" applyBorder="1" applyAlignment="1">
      <alignment horizontal="center"/>
    </xf>
    <xf numFmtId="0" fontId="0" fillId="0" borderId="2" xfId="0" applyBorder="1"/>
    <xf numFmtId="0" fontId="1" fillId="0" borderId="4" xfId="0" applyFont="1" applyBorder="1" applyAlignment="1">
      <alignment horizontal="center"/>
    </xf>
    <xf numFmtId="0" fontId="1" fillId="0" borderId="5" xfId="0" applyFont="1" applyBorder="1" applyAlignment="1">
      <alignment horizont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2" fontId="0" fillId="0" borderId="0" xfId="0" applyNumberFormat="1" applyBorder="1" applyAlignment="1">
      <alignment horizontal="center" vertical="center"/>
    </xf>
    <xf numFmtId="2" fontId="0" fillId="0" borderId="7" xfId="0" applyNumberFormat="1" applyBorder="1" applyAlignment="1">
      <alignment horizontal="center" vertical="center"/>
    </xf>
    <xf numFmtId="2" fontId="0" fillId="0" borderId="6" xfId="0" applyNumberFormat="1" applyBorder="1"/>
    <xf numFmtId="2" fontId="0" fillId="0" borderId="7" xfId="0" applyNumberFormat="1" applyBorder="1"/>
    <xf numFmtId="0" fontId="1" fillId="0" borderId="0" xfId="0" applyFont="1" applyBorder="1"/>
    <xf numFmtId="0" fontId="1" fillId="0" borderId="5" xfId="0" applyFont="1" applyBorder="1"/>
    <xf numFmtId="0" fontId="1" fillId="2" borderId="1" xfId="0" applyFont="1" applyFill="1" applyBorder="1" applyAlignment="1">
      <alignment horizontal="center" vertical="center"/>
    </xf>
    <xf numFmtId="0" fontId="1" fillId="2" borderId="3" xfId="0" applyFont="1" applyFill="1" applyBorder="1"/>
    <xf numFmtId="0" fontId="1" fillId="2" borderId="6" xfId="0" applyFont="1" applyFill="1" applyBorder="1" applyAlignment="1">
      <alignment horizontal="center" vertical="center"/>
    </xf>
    <xf numFmtId="0" fontId="0" fillId="2" borderId="8" xfId="0" applyFill="1" applyBorder="1"/>
    <xf numFmtId="0" fontId="2" fillId="0" borderId="0" xfId="0" applyFont="1" applyBorder="1" applyAlignment="1"/>
    <xf numFmtId="2" fontId="1" fillId="0" borderId="0" xfId="0" applyNumberFormat="1" applyFont="1" applyBorder="1"/>
    <xf numFmtId="2" fontId="4" fillId="0" borderId="20" xfId="0" applyNumberFormat="1" applyFont="1" applyBorder="1"/>
    <xf numFmtId="2" fontId="4" fillId="0" borderId="5" xfId="0" applyNumberFormat="1" applyFont="1" applyBorder="1"/>
    <xf numFmtId="2" fontId="4" fillId="0" borderId="21" xfId="0" applyNumberFormat="1" applyFont="1" applyBorder="1"/>
    <xf numFmtId="164" fontId="4" fillId="0" borderId="20" xfId="0" applyNumberFormat="1" applyFont="1" applyBorder="1"/>
    <xf numFmtId="164" fontId="4" fillId="0" borderId="5" xfId="0" applyNumberFormat="1" applyFont="1" applyBorder="1"/>
    <xf numFmtId="0" fontId="0" fillId="0" borderId="20" xfId="0" applyBorder="1"/>
    <xf numFmtId="0" fontId="1" fillId="0" borderId="7" xfId="0" applyFont="1" applyBorder="1" applyAlignment="1">
      <alignment horizontal="right"/>
    </xf>
    <xf numFmtId="2" fontId="1" fillId="0" borderId="7" xfId="0" applyNumberFormat="1" applyFont="1" applyBorder="1" applyAlignment="1">
      <alignment horizontal="left"/>
    </xf>
    <xf numFmtId="2" fontId="1" fillId="0" borderId="8" xfId="0" applyNumberFormat="1" applyFont="1" applyBorder="1" applyAlignment="1">
      <alignment horizontal="left"/>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2"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Light16"/>
  <colors>
    <mruColors>
      <color rgb="FFF5FFF5"/>
      <color rgb="FFF8FFF8"/>
      <color rgb="FFFBFFFB"/>
      <color rgb="FFEFFFEF"/>
      <color rgb="FFE7FFE7"/>
      <color rgb="FFCCFFCC"/>
      <color rgb="FFFDF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00-57BA-409E-ACA0-35967F0E06E2}"/>
            </c:ext>
          </c:extLst>
        </c:ser>
        <c:ser>
          <c:idx val="1"/>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01-57BA-409E-ACA0-35967F0E06E2}"/>
            </c:ext>
          </c:extLst>
        </c:ser>
        <c:ser>
          <c:idx val="2"/>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02-57BA-409E-ACA0-35967F0E06E2}"/>
            </c:ext>
          </c:extLst>
        </c:ser>
        <c:ser>
          <c:idx val="3"/>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03-57BA-409E-ACA0-35967F0E06E2}"/>
            </c:ext>
          </c:extLst>
        </c:ser>
        <c:ser>
          <c:idx val="4"/>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04-57BA-409E-ACA0-35967F0E06E2}"/>
            </c:ext>
          </c:extLst>
        </c:ser>
        <c:ser>
          <c:idx val="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5-57BA-409E-ACA0-35967F0E06E2}"/>
            </c:ext>
          </c:extLst>
        </c:ser>
        <c:ser>
          <c:idx val="6"/>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6-57BA-409E-ACA0-35967F0E06E2}"/>
            </c:ext>
          </c:extLst>
        </c:ser>
        <c:ser>
          <c:idx val="7"/>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7-57BA-409E-ACA0-35967F0E06E2}"/>
            </c:ext>
          </c:extLst>
        </c:ser>
        <c:ser>
          <c:idx val="8"/>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8-57BA-409E-ACA0-35967F0E06E2}"/>
            </c:ext>
          </c:extLst>
        </c:ser>
        <c:ser>
          <c:idx val="9"/>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9-57BA-409E-ACA0-35967F0E06E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57BA-409E-ACA0-35967F0E06E2}"/>
            </c:ext>
          </c:extLst>
        </c:ser>
        <c:ser>
          <c:idx val="11"/>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B-57BA-409E-ACA0-35967F0E06E2}"/>
            </c:ext>
          </c:extLst>
        </c:ser>
        <c:ser>
          <c:idx val="12"/>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C-57BA-409E-ACA0-35967F0E06E2}"/>
            </c:ext>
          </c:extLst>
        </c:ser>
        <c:ser>
          <c:idx val="13"/>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D-57BA-409E-ACA0-35967F0E06E2}"/>
            </c:ext>
          </c:extLst>
        </c:ser>
        <c:ser>
          <c:idx val="14"/>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E-57BA-409E-ACA0-35967F0E06E2}"/>
            </c:ext>
          </c:extLst>
        </c:ser>
        <c:ser>
          <c:idx val="1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F-57BA-409E-ACA0-35967F0E06E2}"/>
            </c:ext>
          </c:extLst>
        </c:ser>
        <c:ser>
          <c:idx val="16"/>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10-57BA-409E-ACA0-35967F0E06E2}"/>
            </c:ext>
          </c:extLst>
        </c:ser>
        <c:ser>
          <c:idx val="17"/>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11-57BA-409E-ACA0-35967F0E06E2}"/>
            </c:ext>
          </c:extLst>
        </c:ser>
        <c:ser>
          <c:idx val="18"/>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12-57BA-409E-ACA0-35967F0E06E2}"/>
            </c:ext>
          </c:extLst>
        </c:ser>
        <c:ser>
          <c:idx val="19"/>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13-57BA-409E-ACA0-35967F0E06E2}"/>
            </c:ext>
          </c:extLst>
        </c:ser>
        <c:ser>
          <c:idx val="2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14-57BA-409E-ACA0-35967F0E06E2}"/>
            </c:ext>
          </c:extLst>
        </c:ser>
        <c:bandFmts>
          <c:bandFmt>
            <c:idx val="0"/>
            <c:spPr>
              <a:solidFill>
                <a:schemeClr val="accent1">
                  <a:tint val="33000"/>
                </a:schemeClr>
              </a:solidFill>
              <a:ln/>
              <a:effectLst/>
              <a:sp3d prstMaterial="flat"/>
            </c:spPr>
          </c:bandFmt>
          <c:bandFmt>
            <c:idx val="1"/>
            <c:spPr>
              <a:solidFill>
                <a:schemeClr val="accent1">
                  <a:tint val="36000"/>
                </a:schemeClr>
              </a:solidFill>
              <a:ln/>
              <a:effectLst/>
              <a:sp3d prstMaterial="flat"/>
            </c:spPr>
          </c:bandFmt>
          <c:bandFmt>
            <c:idx val="2"/>
            <c:spPr>
              <a:solidFill>
                <a:schemeClr val="accent1">
                  <a:tint val="39000"/>
                </a:schemeClr>
              </a:solidFill>
              <a:ln/>
              <a:effectLst/>
              <a:sp3d prstMaterial="flat"/>
            </c:spPr>
          </c:bandFmt>
          <c:bandFmt>
            <c:idx val="3"/>
            <c:spPr>
              <a:solidFill>
                <a:schemeClr val="accent1">
                  <a:tint val="42000"/>
                </a:schemeClr>
              </a:solidFill>
              <a:ln/>
              <a:effectLst/>
              <a:sp3d prstMaterial="flat"/>
            </c:spPr>
          </c:bandFmt>
          <c:bandFmt>
            <c:idx val="4"/>
            <c:spPr>
              <a:solidFill>
                <a:schemeClr val="accent1">
                  <a:tint val="44000"/>
                </a:schemeClr>
              </a:solidFill>
              <a:ln/>
              <a:effectLst/>
              <a:sp3d prstMaterial="flat"/>
            </c:spPr>
          </c:bandFmt>
          <c:bandFmt>
            <c:idx val="5"/>
            <c:spPr>
              <a:solidFill>
                <a:schemeClr val="accent1">
                  <a:tint val="47000"/>
                </a:schemeClr>
              </a:solidFill>
              <a:ln/>
              <a:effectLst/>
              <a:sp3d prstMaterial="flat"/>
            </c:spPr>
          </c:bandFmt>
          <c:bandFmt>
            <c:idx val="6"/>
            <c:spPr>
              <a:solidFill>
                <a:schemeClr val="accent1">
                  <a:tint val="50000"/>
                </a:schemeClr>
              </a:solidFill>
              <a:ln/>
              <a:effectLst/>
              <a:sp3d prstMaterial="flat"/>
            </c:spPr>
          </c:bandFmt>
          <c:bandFmt>
            <c:idx val="7"/>
            <c:spPr>
              <a:solidFill>
                <a:schemeClr val="accent1">
                  <a:tint val="53000"/>
                </a:schemeClr>
              </a:solidFill>
              <a:ln/>
              <a:effectLst/>
              <a:sp3d prstMaterial="flat"/>
            </c:spPr>
          </c:bandFmt>
          <c:bandFmt>
            <c:idx val="8"/>
            <c:spPr>
              <a:solidFill>
                <a:schemeClr val="accent1">
                  <a:tint val="56000"/>
                </a:schemeClr>
              </a:solidFill>
              <a:ln/>
              <a:effectLst/>
              <a:sp3d prstMaterial="flat"/>
            </c:spPr>
          </c:bandFmt>
          <c:bandFmt>
            <c:idx val="9"/>
            <c:spPr>
              <a:solidFill>
                <a:schemeClr val="accent1">
                  <a:tint val="58000"/>
                </a:schemeClr>
              </a:solidFill>
              <a:ln/>
              <a:effectLst/>
              <a:sp3d prstMaterial="flat"/>
            </c:spPr>
          </c:bandFmt>
          <c:bandFmt>
            <c:idx val="10"/>
            <c:spPr>
              <a:solidFill>
                <a:schemeClr val="accent1">
                  <a:tint val="61000"/>
                </a:schemeClr>
              </a:solidFill>
              <a:ln/>
              <a:effectLst/>
              <a:sp3d prstMaterial="flat"/>
            </c:spPr>
          </c:bandFmt>
          <c:bandFmt>
            <c:idx val="11"/>
            <c:spPr>
              <a:solidFill>
                <a:schemeClr val="accent1">
                  <a:tint val="64000"/>
                </a:schemeClr>
              </a:solidFill>
              <a:ln/>
              <a:effectLst/>
              <a:sp3d prstMaterial="flat"/>
            </c:spPr>
          </c:bandFmt>
          <c:bandFmt>
            <c:idx val="12"/>
            <c:spPr>
              <a:solidFill>
                <a:schemeClr val="accent1">
                  <a:tint val="67000"/>
                </a:schemeClr>
              </a:solidFill>
              <a:ln/>
              <a:effectLst/>
              <a:sp3d prstMaterial="flat"/>
            </c:spPr>
          </c:bandFmt>
          <c:bandFmt>
            <c:idx val="13"/>
            <c:spPr>
              <a:solidFill>
                <a:schemeClr val="accent1">
                  <a:tint val="70000"/>
                </a:schemeClr>
              </a:solidFill>
              <a:ln/>
              <a:effectLst/>
              <a:sp3d prstMaterial="flat"/>
            </c:spPr>
          </c:bandFmt>
          <c:bandFmt>
            <c:idx val="14"/>
            <c:spPr>
              <a:solidFill>
                <a:schemeClr val="accent1">
                  <a:tint val="72000"/>
                </a:schemeClr>
              </a:solidFill>
              <a:ln/>
              <a:effectLst/>
              <a:sp3d prstMaterial="flat"/>
            </c:spPr>
          </c:bandFmt>
          <c:bandFmt>
            <c:idx val="15"/>
            <c:spPr>
              <a:solidFill>
                <a:schemeClr val="accent1">
                  <a:tint val="75000"/>
                </a:schemeClr>
              </a:solidFill>
              <a:ln/>
              <a:effectLst/>
              <a:sp3d prstMaterial="flat"/>
            </c:spPr>
          </c:bandFmt>
          <c:bandFmt>
            <c:idx val="16"/>
            <c:spPr>
              <a:solidFill>
                <a:schemeClr val="accent1">
                  <a:tint val="78000"/>
                </a:schemeClr>
              </a:solidFill>
              <a:ln/>
              <a:effectLst/>
              <a:sp3d prstMaterial="flat"/>
            </c:spPr>
          </c:bandFmt>
          <c:bandFmt>
            <c:idx val="17"/>
            <c:spPr>
              <a:solidFill>
                <a:schemeClr val="accent1">
                  <a:tint val="81000"/>
                </a:schemeClr>
              </a:solidFill>
              <a:ln/>
              <a:effectLst/>
              <a:sp3d prstMaterial="flat"/>
            </c:spPr>
          </c:bandFmt>
          <c:bandFmt>
            <c:idx val="18"/>
            <c:spPr>
              <a:solidFill>
                <a:schemeClr val="accent1">
                  <a:tint val="84000"/>
                </a:schemeClr>
              </a:solidFill>
              <a:ln/>
              <a:effectLst/>
              <a:sp3d prstMaterial="flat"/>
            </c:spPr>
          </c:bandFmt>
          <c:bandFmt>
            <c:idx val="19"/>
            <c:spPr>
              <a:solidFill>
                <a:schemeClr val="accent1">
                  <a:tint val="86000"/>
                </a:schemeClr>
              </a:solidFill>
              <a:ln/>
              <a:effectLst/>
              <a:sp3d prstMaterial="flat"/>
            </c:spPr>
          </c:bandFmt>
          <c:bandFmt>
            <c:idx val="20"/>
            <c:spPr>
              <a:solidFill>
                <a:schemeClr val="accent1">
                  <a:tint val="89000"/>
                </a:schemeClr>
              </a:solidFill>
              <a:ln/>
              <a:effectLst/>
              <a:sp3d prstMaterial="flat"/>
            </c:spPr>
          </c:bandFmt>
          <c:bandFmt>
            <c:idx val="21"/>
            <c:spPr>
              <a:solidFill>
                <a:schemeClr val="accent1">
                  <a:tint val="92000"/>
                </a:schemeClr>
              </a:solidFill>
              <a:ln/>
              <a:effectLst/>
              <a:sp3d prstMaterial="flat"/>
            </c:spPr>
          </c:bandFmt>
          <c:bandFmt>
            <c:idx val="22"/>
            <c:spPr>
              <a:solidFill>
                <a:schemeClr val="accent1">
                  <a:tint val="95000"/>
                </a:schemeClr>
              </a:solidFill>
              <a:ln/>
              <a:effectLst/>
              <a:sp3d prstMaterial="flat"/>
            </c:spPr>
          </c:bandFmt>
          <c:bandFmt>
            <c:idx val="23"/>
            <c:spPr>
              <a:solidFill>
                <a:schemeClr val="accent1">
                  <a:tint val="98000"/>
                </a:schemeClr>
              </a:solidFill>
              <a:ln/>
              <a:effectLst/>
              <a:sp3d prstMaterial="flat"/>
            </c:spPr>
          </c:bandFmt>
          <c:bandFmt>
            <c:idx val="24"/>
            <c:spPr>
              <a:solidFill>
                <a:schemeClr val="accent1"/>
              </a:solidFill>
              <a:ln/>
              <a:effectLst/>
              <a:sp3d prstMaterial="flat"/>
            </c:spPr>
          </c:bandFmt>
          <c:bandFmt>
            <c:idx val="25"/>
            <c:spPr>
              <a:solidFill>
                <a:schemeClr val="accent1">
                  <a:shade val="97000"/>
                </a:schemeClr>
              </a:solidFill>
              <a:ln/>
              <a:effectLst/>
              <a:sp3d prstMaterial="flat"/>
            </c:spPr>
          </c:bandFmt>
          <c:bandFmt>
            <c:idx val="26"/>
            <c:spPr>
              <a:solidFill>
                <a:schemeClr val="accent1">
                  <a:shade val="94000"/>
                </a:schemeClr>
              </a:solidFill>
              <a:ln/>
              <a:effectLst/>
              <a:sp3d prstMaterial="flat"/>
            </c:spPr>
          </c:bandFmt>
          <c:bandFmt>
            <c:idx val="27"/>
            <c:spPr>
              <a:solidFill>
                <a:schemeClr val="accent1">
                  <a:shade val="91000"/>
                </a:schemeClr>
              </a:solidFill>
              <a:ln/>
              <a:effectLst/>
              <a:sp3d prstMaterial="flat"/>
            </c:spPr>
          </c:bandFmt>
          <c:bandFmt>
            <c:idx val="28"/>
            <c:spPr>
              <a:solidFill>
                <a:schemeClr val="accent1">
                  <a:shade val="88000"/>
                </a:schemeClr>
              </a:solidFill>
              <a:ln/>
              <a:effectLst/>
              <a:sp3d prstMaterial="flat"/>
            </c:spPr>
          </c:bandFmt>
          <c:bandFmt>
            <c:idx val="29"/>
            <c:spPr>
              <a:solidFill>
                <a:schemeClr val="accent1">
                  <a:shade val="86000"/>
                </a:schemeClr>
              </a:solidFill>
              <a:ln/>
              <a:effectLst/>
              <a:sp3d prstMaterial="flat"/>
            </c:spPr>
          </c:bandFmt>
          <c:bandFmt>
            <c:idx val="30"/>
            <c:spPr>
              <a:solidFill>
                <a:schemeClr val="accent1">
                  <a:shade val="83000"/>
                </a:schemeClr>
              </a:solidFill>
              <a:ln/>
              <a:effectLst/>
              <a:sp3d prstMaterial="flat"/>
            </c:spPr>
          </c:bandFmt>
          <c:bandFmt>
            <c:idx val="31"/>
            <c:spPr>
              <a:solidFill>
                <a:schemeClr val="accent1">
                  <a:shade val="80000"/>
                </a:schemeClr>
              </a:solidFill>
              <a:ln/>
              <a:effectLst/>
              <a:sp3d prstMaterial="flat"/>
            </c:spPr>
          </c:bandFmt>
          <c:bandFmt>
            <c:idx val="32"/>
            <c:spPr>
              <a:solidFill>
                <a:schemeClr val="accent1">
                  <a:shade val="77000"/>
                </a:schemeClr>
              </a:solidFill>
              <a:ln/>
              <a:effectLst/>
              <a:sp3d prstMaterial="flat"/>
            </c:spPr>
          </c:bandFmt>
          <c:bandFmt>
            <c:idx val="33"/>
            <c:spPr>
              <a:solidFill>
                <a:schemeClr val="accent1">
                  <a:shade val="74000"/>
                </a:schemeClr>
              </a:solidFill>
              <a:ln/>
              <a:effectLst/>
              <a:sp3d prstMaterial="flat"/>
            </c:spPr>
          </c:bandFmt>
          <c:bandFmt>
            <c:idx val="34"/>
            <c:spPr>
              <a:solidFill>
                <a:schemeClr val="accent1">
                  <a:shade val="72000"/>
                </a:schemeClr>
              </a:solidFill>
              <a:ln/>
              <a:effectLst/>
              <a:sp3d prstMaterial="flat"/>
            </c:spPr>
          </c:bandFmt>
          <c:bandFmt>
            <c:idx val="35"/>
            <c:spPr>
              <a:solidFill>
                <a:schemeClr val="accent1">
                  <a:shade val="69000"/>
                </a:schemeClr>
              </a:solidFill>
              <a:ln/>
              <a:effectLst/>
              <a:sp3d prstMaterial="flat"/>
            </c:spPr>
          </c:bandFmt>
          <c:bandFmt>
            <c:idx val="36"/>
            <c:spPr>
              <a:solidFill>
                <a:schemeClr val="accent1">
                  <a:shade val="66000"/>
                </a:schemeClr>
              </a:solidFill>
              <a:ln/>
              <a:effectLst/>
              <a:sp3d prstMaterial="flat"/>
            </c:spPr>
          </c:bandFmt>
          <c:bandFmt>
            <c:idx val="37"/>
            <c:spPr>
              <a:solidFill>
                <a:schemeClr val="accent1">
                  <a:shade val="63000"/>
                </a:schemeClr>
              </a:solidFill>
              <a:ln/>
              <a:effectLst/>
              <a:sp3d prstMaterial="flat"/>
            </c:spPr>
          </c:bandFmt>
          <c:bandFmt>
            <c:idx val="38"/>
            <c:spPr>
              <a:solidFill>
                <a:schemeClr val="accent1">
                  <a:shade val="60000"/>
                </a:schemeClr>
              </a:solidFill>
              <a:ln/>
              <a:effectLst/>
              <a:sp3d prstMaterial="flat"/>
            </c:spPr>
          </c:bandFmt>
          <c:bandFmt>
            <c:idx val="39"/>
            <c:spPr>
              <a:solidFill>
                <a:schemeClr val="accent1">
                  <a:shade val="58000"/>
                </a:schemeClr>
              </a:solidFill>
              <a:ln/>
              <a:effectLst/>
              <a:sp3d prstMaterial="flat"/>
            </c:spPr>
          </c:bandFmt>
          <c:bandFmt>
            <c:idx val="40"/>
            <c:spPr>
              <a:solidFill>
                <a:schemeClr val="accent1">
                  <a:shade val="55000"/>
                </a:schemeClr>
              </a:solidFill>
              <a:ln/>
              <a:effectLst/>
              <a:sp3d prstMaterial="flat"/>
            </c:spPr>
          </c:bandFmt>
          <c:bandFmt>
            <c:idx val="41"/>
            <c:spPr>
              <a:solidFill>
                <a:schemeClr val="accent1">
                  <a:shade val="52000"/>
                </a:schemeClr>
              </a:solidFill>
              <a:ln/>
              <a:effectLst/>
              <a:sp3d prstMaterial="flat"/>
            </c:spPr>
          </c:bandFmt>
          <c:bandFmt>
            <c:idx val="42"/>
            <c:spPr>
              <a:solidFill>
                <a:schemeClr val="accent1">
                  <a:shade val="49000"/>
                </a:schemeClr>
              </a:solidFill>
              <a:ln/>
              <a:effectLst/>
              <a:sp3d prstMaterial="flat"/>
            </c:spPr>
          </c:bandFmt>
          <c:bandFmt>
            <c:idx val="43"/>
            <c:spPr>
              <a:solidFill>
                <a:schemeClr val="accent1">
                  <a:shade val="46000"/>
                </a:schemeClr>
              </a:solidFill>
              <a:ln/>
              <a:effectLst/>
              <a:sp3d prstMaterial="flat"/>
            </c:spPr>
          </c:bandFmt>
          <c:bandFmt>
            <c:idx val="44"/>
            <c:spPr>
              <a:solidFill>
                <a:schemeClr val="accent1">
                  <a:shade val="44000"/>
                </a:schemeClr>
              </a:solidFill>
              <a:ln/>
              <a:effectLst/>
              <a:sp3d prstMaterial="flat"/>
            </c:spPr>
          </c:bandFmt>
          <c:bandFmt>
            <c:idx val="45"/>
            <c:spPr>
              <a:solidFill>
                <a:schemeClr val="accent1">
                  <a:shade val="41000"/>
                </a:schemeClr>
              </a:solidFill>
              <a:ln/>
              <a:effectLst/>
              <a:sp3d prstMaterial="flat"/>
            </c:spPr>
          </c:bandFmt>
          <c:bandFmt>
            <c:idx val="46"/>
            <c:spPr>
              <a:solidFill>
                <a:schemeClr val="accent1">
                  <a:shade val="38000"/>
                </a:schemeClr>
              </a:solidFill>
              <a:ln/>
              <a:effectLst/>
              <a:sp3d prstMaterial="flat"/>
            </c:spPr>
          </c:bandFmt>
          <c:bandFmt>
            <c:idx val="47"/>
            <c:spPr>
              <a:solidFill>
                <a:schemeClr val="accent1">
                  <a:shade val="35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axMin"/>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2029886350512202"/>
              <c:y val="0.46128219562072598"/>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34879732600846E-2"/>
          <c:y val="2.0180634355012189E-2"/>
          <c:w val="0.90229357957153355"/>
          <c:h val="0.93986567372509089"/>
        </c:manualLayout>
      </c:layout>
      <c:scatterChart>
        <c:scatterStyle val="lineMarker"/>
        <c:varyColors val="0"/>
        <c:ser>
          <c:idx val="0"/>
          <c:order val="0"/>
          <c:tx>
            <c:v>Class 0</c:v>
          </c:tx>
          <c:spPr>
            <a:ln w="25400" cap="rnd">
              <a:noFill/>
              <a:round/>
            </a:ln>
            <a:effectLst/>
          </c:spPr>
          <c:marker>
            <c:symbol val="circle"/>
            <c:size val="8"/>
            <c:spPr>
              <a:solidFill>
                <a:schemeClr val="accent1">
                  <a:lumMod val="20000"/>
                  <a:lumOff val="80000"/>
                </a:schemeClr>
              </a:solidFill>
              <a:ln w="15875">
                <a:solidFill>
                  <a:schemeClr val="tx1"/>
                </a:solidFill>
              </a:ln>
              <a:effectLst/>
            </c:spPr>
          </c:marker>
          <c:xVal>
            <c:numRef>
              <c:f>'Main Page'!$G$5:$G$8</c:f>
              <c:numCache>
                <c:formatCode>0.00</c:formatCode>
                <c:ptCount val="4"/>
                <c:pt idx="0">
                  <c:v>0.33333333333333331</c:v>
                </c:pt>
                <c:pt idx="1">
                  <c:v>0.51515151515151514</c:v>
                </c:pt>
                <c:pt idx="2">
                  <c:v>0.31818181818181818</c:v>
                </c:pt>
                <c:pt idx="3">
                  <c:v>0.34848484848484851</c:v>
                </c:pt>
              </c:numCache>
            </c:numRef>
          </c:xVal>
          <c:yVal>
            <c:numRef>
              <c:f>'Main Page'!$H$5:$H$8</c:f>
              <c:numCache>
                <c:formatCode>0.00</c:formatCode>
                <c:ptCount val="4"/>
                <c:pt idx="0">
                  <c:v>1</c:v>
                </c:pt>
                <c:pt idx="1">
                  <c:v>0.61818181818181817</c:v>
                </c:pt>
                <c:pt idx="2">
                  <c:v>0.43636363636363634</c:v>
                </c:pt>
                <c:pt idx="3">
                  <c:v>0.81818181818181823</c:v>
                </c:pt>
              </c:numCache>
            </c:numRef>
          </c:yVal>
          <c:smooth val="0"/>
          <c:extLst>
            <c:ext xmlns:c16="http://schemas.microsoft.com/office/drawing/2014/chart" uri="{C3380CC4-5D6E-409C-BE32-E72D297353CC}">
              <c16:uniqueId val="{00000000-4DC5-45E6-BF09-4B3625CBF3CC}"/>
            </c:ext>
          </c:extLst>
        </c:ser>
        <c:ser>
          <c:idx val="1"/>
          <c:order val="1"/>
          <c:tx>
            <c:v>Class 1</c:v>
          </c:tx>
          <c:spPr>
            <a:ln w="25400" cap="rnd">
              <a:noFill/>
              <a:round/>
            </a:ln>
            <a:effectLst/>
          </c:spPr>
          <c:marker>
            <c:symbol val="circle"/>
            <c:size val="8"/>
            <c:spPr>
              <a:solidFill>
                <a:schemeClr val="accent1">
                  <a:lumMod val="50000"/>
                </a:schemeClr>
              </a:solidFill>
              <a:ln w="15875">
                <a:solidFill>
                  <a:srgbClr val="FF0000"/>
                </a:solidFill>
              </a:ln>
              <a:effectLst/>
            </c:spPr>
          </c:marker>
          <c:xVal>
            <c:numRef>
              <c:f>'Main Page'!$G$9:$G$13</c:f>
              <c:numCache>
                <c:formatCode>0.00</c:formatCode>
                <c:ptCount val="5"/>
                <c:pt idx="0">
                  <c:v>0.66666666666666663</c:v>
                </c:pt>
                <c:pt idx="1">
                  <c:v>1</c:v>
                </c:pt>
                <c:pt idx="2">
                  <c:v>0.68181818181818177</c:v>
                </c:pt>
                <c:pt idx="3">
                  <c:v>0.51515151515151514</c:v>
                </c:pt>
              </c:numCache>
            </c:numRef>
          </c:xVal>
          <c:yVal>
            <c:numRef>
              <c:f>'Main Page'!$H$9:$H$12</c:f>
              <c:numCache>
                <c:formatCode>0.00</c:formatCode>
                <c:ptCount val="4"/>
                <c:pt idx="0">
                  <c:v>0.2</c:v>
                </c:pt>
                <c:pt idx="1">
                  <c:v>0.38181818181818183</c:v>
                </c:pt>
                <c:pt idx="2">
                  <c:v>0.41818181818181815</c:v>
                </c:pt>
                <c:pt idx="3">
                  <c:v>0.14545454545454545</c:v>
                </c:pt>
              </c:numCache>
            </c:numRef>
          </c:yVal>
          <c:smooth val="0"/>
          <c:extLst>
            <c:ext xmlns:c16="http://schemas.microsoft.com/office/drawing/2014/chart" uri="{C3380CC4-5D6E-409C-BE32-E72D297353CC}">
              <c16:uniqueId val="{00000002-4DC5-45E6-BF09-4B3625CBF3CC}"/>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w3 weight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Data'!$C$3:$C$1000</c:f>
              <c:numCache>
                <c:formatCode>0.00</c:formatCode>
                <c:ptCount val="998"/>
                <c:pt idx="0">
                  <c:v>-1.9627383334096435</c:v>
                </c:pt>
                <c:pt idx="1">
                  <c:v>-1.8744372458736152</c:v>
                </c:pt>
                <c:pt idx="2">
                  <c:v>-1.8125991813247044</c:v>
                </c:pt>
                <c:pt idx="3">
                  <c:v>-1.7771591541126086</c:v>
                </c:pt>
                <c:pt idx="4">
                  <c:v>-1.7638601361834412</c:v>
                </c:pt>
                <c:pt idx="5">
                  <c:v>-1.7701058432276742</c:v>
                </c:pt>
                <c:pt idx="6">
                  <c:v>-1.794896585929731</c:v>
                </c:pt>
                <c:pt idx="7">
                  <c:v>-1.8385449334104047</c:v>
                </c:pt>
                <c:pt idx="8">
                  <c:v>-1.9024415907203205</c:v>
                </c:pt>
                <c:pt idx="9">
                  <c:v>-1.9887434248047307</c:v>
                </c:pt>
                <c:pt idx="10">
                  <c:v>-2.0997386378570329</c:v>
                </c:pt>
                <c:pt idx="11">
                  <c:v>-2.2366562608342848</c:v>
                </c:pt>
                <c:pt idx="12">
                  <c:v>-2.3981361554587215</c:v>
                </c:pt>
                <c:pt idx="13">
                  <c:v>-2.5794893023950971</c:v>
                </c:pt>
                <c:pt idx="14">
                  <c:v>-2.7738910681391999</c:v>
                </c:pt>
                <c:pt idx="15">
                  <c:v>-2.9746772114199498</c:v>
                </c:pt>
                <c:pt idx="16">
                  <c:v>-3.1767162997432656</c:v>
                </c:pt>
                <c:pt idx="17">
                  <c:v>-3.3764102676589802</c:v>
                </c:pt>
                <c:pt idx="18">
                  <c:v>-3.5712496462256937</c:v>
                </c:pt>
                <c:pt idx="19">
                  <c:v>-3.7595107645581023</c:v>
                </c:pt>
                <c:pt idx="20">
                  <c:v>-3.9401044186196801</c:v>
                </c:pt>
                <c:pt idx="21">
                  <c:v>-4.1124644400414825</c:v>
                </c:pt>
                <c:pt idx="22">
                  <c:v>-4.2764303206804177</c:v>
                </c:pt>
                <c:pt idx="23">
                  <c:v>-4.4321282931241699</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2-8ED9-48B7-B0BB-62BB3F1AB810}"/>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At val="0"/>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Data'!$F$3:$F$1000</c:f>
              <c:numCache>
                <c:formatCode>0.00</c:formatCode>
                <c:ptCount val="998"/>
                <c:pt idx="0">
                  <c:v>1.4057724154399844</c:v>
                </c:pt>
                <c:pt idx="1">
                  <c:v>1.3865139812228782</c:v>
                </c:pt>
                <c:pt idx="2">
                  <c:v>1.3761580234763151</c:v>
                </c:pt>
                <c:pt idx="3">
                  <c:v>1.3711810744790043</c:v>
                </c:pt>
                <c:pt idx="4">
                  <c:v>1.3718393800314295</c:v>
                </c:pt>
                <c:pt idx="5">
                  <c:v>1.3781588016507931</c:v>
                </c:pt>
                <c:pt idx="6">
                  <c:v>1.3898227909947181</c:v>
                </c:pt>
                <c:pt idx="7">
                  <c:v>1.406123607212538</c:v>
                </c:pt>
                <c:pt idx="8">
                  <c:v>1.4257922367552107</c:v>
                </c:pt>
                <c:pt idx="9">
                  <c:v>1.4467704503958132</c:v>
                </c:pt>
                <c:pt idx="10">
                  <c:v>1.4661934148641238</c:v>
                </c:pt>
                <c:pt idx="11">
                  <c:v>1.481171999713838</c:v>
                </c:pt>
                <c:pt idx="12">
                  <c:v>1.4908381422541601</c:v>
                </c:pt>
                <c:pt idx="13">
                  <c:v>1.4985058167223264</c:v>
                </c:pt>
                <c:pt idx="14">
                  <c:v>1.5110872061143346</c:v>
                </c:pt>
                <c:pt idx="15">
                  <c:v>1.5352552813883615</c:v>
                </c:pt>
                <c:pt idx="16">
                  <c:v>1.5740094558425946</c:v>
                </c:pt>
                <c:pt idx="17">
                  <c:v>1.6263647704773121</c:v>
                </c:pt>
                <c:pt idx="18">
                  <c:v>1.6891055896034424</c:v>
                </c:pt>
                <c:pt idx="19">
                  <c:v>1.7585553418900031</c:v>
                </c:pt>
                <c:pt idx="20">
                  <c:v>1.8315341618187819</c:v>
                </c:pt>
                <c:pt idx="21">
                  <c:v>1.9056420641200928</c:v>
                </c:pt>
                <c:pt idx="22">
                  <c:v>1.979209509874289</c:v>
                </c:pt>
                <c:pt idx="23">
                  <c:v>2.0511437454163599</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0-E322-4B51-B77A-F62604309C67}"/>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Data'!$I$3:$I$1000</c:f>
              <c:numCache>
                <c:formatCode>0.00</c:formatCode>
                <c:ptCount val="998"/>
                <c:pt idx="0">
                  <c:v>-1.5184785184721812</c:v>
                </c:pt>
                <c:pt idx="1">
                  <c:v>-1.2812240697622952</c:v>
                </c:pt>
                <c:pt idx="2">
                  <c:v>-1.0774731333180196</c:v>
                </c:pt>
                <c:pt idx="3">
                  <c:v>-0.90050034205986629</c:v>
                </c:pt>
                <c:pt idx="4">
                  <c:v>-0.74376683117591391</c:v>
                </c:pt>
                <c:pt idx="5">
                  <c:v>-0.60158207255706597</c:v>
                </c:pt>
                <c:pt idx="6">
                  <c:v>-0.46922587331212512</c:v>
                </c:pt>
                <c:pt idx="7">
                  <c:v>-0.3426343923936408</c:v>
                </c:pt>
                <c:pt idx="8">
                  <c:v>-0.21797859932274033</c:v>
                </c:pt>
                <c:pt idx="9">
                  <c:v>-9.1234617943632301E-2</c:v>
                </c:pt>
                <c:pt idx="10">
                  <c:v>4.2165495842941464E-2</c:v>
                </c:pt>
                <c:pt idx="11">
                  <c:v>0.18734543540255205</c:v>
                </c:pt>
                <c:pt idx="12">
                  <c:v>0.3492054459012649</c:v>
                </c:pt>
                <c:pt idx="13">
                  <c:v>0.53072065835437376</c:v>
                </c:pt>
                <c:pt idx="14">
                  <c:v>0.73132538943333636</c:v>
                </c:pt>
                <c:pt idx="15">
                  <c:v>0.94683531996398362</c:v>
                </c:pt>
                <c:pt idx="16">
                  <c:v>1.1708895617198383</c:v>
                </c:pt>
                <c:pt idx="17">
                  <c:v>1.3967189771028121</c:v>
                </c:pt>
                <c:pt idx="18">
                  <c:v>1.6184781629685061</c:v>
                </c:pt>
                <c:pt idx="19">
                  <c:v>1.8319546169475138</c:v>
                </c:pt>
                <c:pt idx="20">
                  <c:v>2.034671237898634</c:v>
                </c:pt>
                <c:pt idx="21">
                  <c:v>2.2255696360422266</c:v>
                </c:pt>
                <c:pt idx="22">
                  <c:v>2.4045465353439113</c:v>
                </c:pt>
                <c:pt idx="23">
                  <c:v>2.5720412418593179</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0-D8ED-42A9-88AE-EEC989D0B8ED}"/>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Data'!$L$3:$L$1000</c:f>
              <c:numCache>
                <c:formatCode>0.00</c:formatCode>
                <c:ptCount val="998"/>
                <c:pt idx="0">
                  <c:v>1.9338440681706226</c:v>
                </c:pt>
                <c:pt idx="1">
                  <c:v>2.0132933994181132</c:v>
                </c:pt>
                <c:pt idx="2">
                  <c:v>2.0658231379508889</c:v>
                </c:pt>
                <c:pt idx="3">
                  <c:v>2.0951711590190687</c:v>
                </c:pt>
                <c:pt idx="4">
                  <c:v>2.1036331299071773</c:v>
                </c:pt>
                <c:pt idx="5">
                  <c:v>2.0925905927531341</c:v>
                </c:pt>
                <c:pt idx="6">
                  <c:v>2.0623500821414744</c:v>
                </c:pt>
                <c:pt idx="7">
                  <c:v>2.0122165202893116</c:v>
                </c:pt>
                <c:pt idx="8">
                  <c:v>1.9407279079160249</c:v>
                </c:pt>
                <c:pt idx="9">
                  <c:v>1.8461686231740442</c:v>
                </c:pt>
                <c:pt idx="10">
                  <c:v>1.7276075553773438</c:v>
                </c:pt>
                <c:pt idx="11">
                  <c:v>1.5865718418330945</c:v>
                </c:pt>
                <c:pt idx="12">
                  <c:v>1.428723949501181</c:v>
                </c:pt>
                <c:pt idx="13">
                  <c:v>1.2639069359276789</c:v>
                </c:pt>
                <c:pt idx="14">
                  <c:v>1.1035270589070272</c:v>
                </c:pt>
                <c:pt idx="15">
                  <c:v>0.95685771943094655</c:v>
                </c:pt>
                <c:pt idx="16">
                  <c:v>0.82893721453511682</c:v>
                </c:pt>
                <c:pt idx="17">
                  <c:v>0.72083073973811607</c:v>
                </c:pt>
                <c:pt idx="18">
                  <c:v>0.63110088666218256</c:v>
                </c:pt>
                <c:pt idx="19">
                  <c:v>0.5572093280775311</c:v>
                </c:pt>
                <c:pt idx="20">
                  <c:v>0.49638602312389279</c:v>
                </c:pt>
                <c:pt idx="21">
                  <c:v>0.4460595527807274</c:v>
                </c:pt>
                <c:pt idx="22">
                  <c:v>0.40403580727999511</c:v>
                </c:pt>
                <c:pt idx="23">
                  <c:v>0.36854225903286753</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0-604A-435F-A87E-33AAD026C009}"/>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Data'!$O$3:$O$1000</c:f>
              <c:numCache>
                <c:formatCode>0.00</c:formatCode>
                <c:ptCount val="998"/>
                <c:pt idx="0">
                  <c:v>-0.47432400763116611</c:v>
                </c:pt>
                <c:pt idx="1">
                  <c:v>-0.56909522606796514</c:v>
                </c:pt>
                <c:pt idx="2">
                  <c:v>-0.66160751697189257</c:v>
                </c:pt>
                <c:pt idx="3">
                  <c:v>-0.75441619884832578</c:v>
                </c:pt>
                <c:pt idx="4">
                  <c:v>-0.85041613308507547</c:v>
                </c:pt>
                <c:pt idx="5">
                  <c:v>-0.95192448521764739</c:v>
                </c:pt>
                <c:pt idx="6">
                  <c:v>-1.061089228167267</c:v>
                </c:pt>
                <c:pt idx="7">
                  <c:v>-1.1800915547749631</c:v>
                </c:pt>
                <c:pt idx="8">
                  <c:v>-1.3111471437669424</c:v>
                </c:pt>
                <c:pt idx="9">
                  <c:v>-1.456254269996434</c:v>
                </c:pt>
                <c:pt idx="10">
                  <c:v>-1.6165504611297816</c:v>
                </c:pt>
                <c:pt idx="11">
                  <c:v>-1.7911873132717875</c:v>
                </c:pt>
                <c:pt idx="12">
                  <c:v>-1.9760483567964633</c:v>
                </c:pt>
                <c:pt idx="13">
                  <c:v>-2.1633995724803308</c:v>
                </c:pt>
                <c:pt idx="14">
                  <c:v>-2.3436207771966364</c:v>
                </c:pt>
                <c:pt idx="15">
                  <c:v>-2.5084596196864903</c:v>
                </c:pt>
                <c:pt idx="16">
                  <c:v>-2.6535360307931493</c:v>
                </c:pt>
                <c:pt idx="17">
                  <c:v>-2.7785834609774396</c:v>
                </c:pt>
                <c:pt idx="18">
                  <c:v>-2.886008238134909</c:v>
                </c:pt>
                <c:pt idx="19">
                  <c:v>-2.9792094349168798</c:v>
                </c:pt>
                <c:pt idx="20">
                  <c:v>-3.0614863908997378</c:v>
                </c:pt>
                <c:pt idx="21">
                  <c:v>-3.1355796108223752</c:v>
                </c:pt>
                <c:pt idx="22">
                  <c:v>-3.2035933385226092</c:v>
                </c:pt>
                <c:pt idx="23">
                  <c:v>-3.2670772690082055</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0-9536-4C79-B379-A56ACE3A6005}"/>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00-0C27-4458-B867-6B27ADC5A272}"/>
            </c:ext>
          </c:extLst>
        </c:ser>
        <c:ser>
          <c:idx val="1"/>
          <c:order val="1"/>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01-0C27-4458-B867-6B27ADC5A272}"/>
            </c:ext>
          </c:extLst>
        </c:ser>
        <c:ser>
          <c:idx val="2"/>
          <c:order val="2"/>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02-0C27-4458-B867-6B27ADC5A272}"/>
            </c:ext>
          </c:extLst>
        </c:ser>
        <c:ser>
          <c:idx val="3"/>
          <c:order val="3"/>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03-0C27-4458-B867-6B27ADC5A272}"/>
            </c:ext>
          </c:extLst>
        </c:ser>
        <c:ser>
          <c:idx val="4"/>
          <c:order val="4"/>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04-0C27-4458-B867-6B27ADC5A272}"/>
            </c:ext>
          </c:extLst>
        </c:ser>
        <c:ser>
          <c:idx val="5"/>
          <c:order val="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5-0C27-4458-B867-6B27ADC5A272}"/>
            </c:ext>
          </c:extLst>
        </c:ser>
        <c:ser>
          <c:idx val="6"/>
          <c:order val="6"/>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6-0C27-4458-B867-6B27ADC5A272}"/>
            </c:ext>
          </c:extLst>
        </c:ser>
        <c:ser>
          <c:idx val="7"/>
          <c:order val="7"/>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7-0C27-4458-B867-6B27ADC5A272}"/>
            </c:ext>
          </c:extLst>
        </c:ser>
        <c:ser>
          <c:idx val="8"/>
          <c:order val="8"/>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8-0C27-4458-B867-6B27ADC5A272}"/>
            </c:ext>
          </c:extLst>
        </c:ser>
        <c:ser>
          <c:idx val="9"/>
          <c:order val="9"/>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9-0C27-4458-B867-6B27ADC5A27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0C27-4458-B867-6B27ADC5A272}"/>
            </c:ext>
          </c:extLst>
        </c:ser>
        <c:ser>
          <c:idx val="11"/>
          <c:order val="11"/>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B-0C27-4458-B867-6B27ADC5A272}"/>
            </c:ext>
          </c:extLst>
        </c:ser>
        <c:ser>
          <c:idx val="12"/>
          <c:order val="12"/>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C-0C27-4458-B867-6B27ADC5A272}"/>
            </c:ext>
          </c:extLst>
        </c:ser>
        <c:ser>
          <c:idx val="13"/>
          <c:order val="13"/>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D-0C27-4458-B867-6B27ADC5A272}"/>
            </c:ext>
          </c:extLst>
        </c:ser>
        <c:ser>
          <c:idx val="14"/>
          <c:order val="14"/>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E-0C27-4458-B867-6B27ADC5A272}"/>
            </c:ext>
          </c:extLst>
        </c:ser>
        <c:ser>
          <c:idx val="15"/>
          <c:order val="1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F-0C27-4458-B867-6B27ADC5A272}"/>
            </c:ext>
          </c:extLst>
        </c:ser>
        <c:ser>
          <c:idx val="16"/>
          <c:order val="16"/>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10-0C27-4458-B867-6B27ADC5A272}"/>
            </c:ext>
          </c:extLst>
        </c:ser>
        <c:ser>
          <c:idx val="17"/>
          <c:order val="17"/>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11-0C27-4458-B867-6B27ADC5A272}"/>
            </c:ext>
          </c:extLst>
        </c:ser>
        <c:ser>
          <c:idx val="18"/>
          <c:order val="18"/>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12-0C27-4458-B867-6B27ADC5A272}"/>
            </c:ext>
          </c:extLst>
        </c:ser>
        <c:ser>
          <c:idx val="19"/>
          <c:order val="19"/>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13-0C27-4458-B867-6B27ADC5A272}"/>
            </c:ext>
          </c:extLst>
        </c:ser>
        <c:ser>
          <c:idx val="20"/>
          <c:order val="2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14-0C27-4458-B867-6B27ADC5A272}"/>
            </c:ext>
          </c:extLst>
        </c:ser>
        <c:bandFmts>
          <c:bandFmt>
            <c:idx val="0"/>
            <c:spPr>
              <a:solidFill>
                <a:schemeClr val="accent1">
                  <a:shade val="32000"/>
                </a:schemeClr>
              </a:solidFill>
              <a:ln/>
              <a:effectLst/>
              <a:sp3d prstMaterial="flat"/>
            </c:spPr>
          </c:bandFmt>
          <c:bandFmt>
            <c:idx val="1"/>
            <c:spPr>
              <a:solidFill>
                <a:schemeClr val="accent1">
                  <a:shade val="35000"/>
                </a:schemeClr>
              </a:solidFill>
              <a:ln/>
              <a:effectLst/>
              <a:sp3d prstMaterial="flat"/>
            </c:spPr>
          </c:bandFmt>
          <c:bandFmt>
            <c:idx val="2"/>
            <c:spPr>
              <a:solidFill>
                <a:schemeClr val="accent1">
                  <a:shade val="38000"/>
                </a:schemeClr>
              </a:solidFill>
              <a:ln/>
              <a:effectLst/>
              <a:sp3d prstMaterial="flat"/>
            </c:spPr>
          </c:bandFmt>
          <c:bandFmt>
            <c:idx val="3"/>
            <c:spPr>
              <a:solidFill>
                <a:schemeClr val="accent1">
                  <a:shade val="40000"/>
                </a:schemeClr>
              </a:solidFill>
              <a:ln/>
              <a:effectLst/>
              <a:sp3d prstMaterial="flat"/>
            </c:spPr>
          </c:bandFmt>
          <c:bandFmt>
            <c:idx val="4"/>
            <c:spPr>
              <a:solidFill>
                <a:schemeClr val="accent1">
                  <a:shade val="43000"/>
                </a:schemeClr>
              </a:solidFill>
              <a:ln/>
              <a:effectLst/>
              <a:sp3d prstMaterial="flat"/>
            </c:spPr>
          </c:bandFmt>
          <c:bandFmt>
            <c:idx val="5"/>
            <c:spPr>
              <a:solidFill>
                <a:schemeClr val="accent1">
                  <a:shade val="46000"/>
                </a:schemeClr>
              </a:solidFill>
              <a:ln/>
              <a:effectLst/>
              <a:sp3d prstMaterial="flat"/>
            </c:spPr>
          </c:bandFmt>
          <c:bandFmt>
            <c:idx val="6"/>
            <c:spPr>
              <a:solidFill>
                <a:schemeClr val="accent1">
                  <a:shade val="48000"/>
                </a:schemeClr>
              </a:solidFill>
              <a:ln/>
              <a:effectLst/>
              <a:sp3d prstMaterial="flat"/>
            </c:spPr>
          </c:bandFmt>
          <c:bandFmt>
            <c:idx val="7"/>
            <c:spPr>
              <a:solidFill>
                <a:schemeClr val="accent1">
                  <a:shade val="51000"/>
                </a:schemeClr>
              </a:solidFill>
              <a:ln/>
              <a:effectLst/>
              <a:sp3d prstMaterial="flat"/>
            </c:spPr>
          </c:bandFmt>
          <c:bandFmt>
            <c:idx val="8"/>
            <c:spPr>
              <a:solidFill>
                <a:schemeClr val="accent1">
                  <a:shade val="54000"/>
                </a:schemeClr>
              </a:solidFill>
              <a:ln/>
              <a:effectLst/>
              <a:sp3d prstMaterial="flat"/>
            </c:spPr>
          </c:bandFmt>
          <c:bandFmt>
            <c:idx val="9"/>
            <c:spPr>
              <a:solidFill>
                <a:schemeClr val="accent1">
                  <a:shade val="56000"/>
                </a:schemeClr>
              </a:solidFill>
              <a:ln/>
              <a:effectLst/>
              <a:sp3d prstMaterial="flat"/>
            </c:spPr>
          </c:bandFmt>
          <c:bandFmt>
            <c:idx val="10"/>
            <c:spPr>
              <a:solidFill>
                <a:schemeClr val="accent1">
                  <a:shade val="59000"/>
                </a:schemeClr>
              </a:solidFill>
              <a:ln/>
              <a:effectLst/>
              <a:sp3d prstMaterial="flat"/>
            </c:spPr>
          </c:bandFmt>
          <c:bandFmt>
            <c:idx val="11"/>
            <c:spPr>
              <a:solidFill>
                <a:schemeClr val="accent1">
                  <a:shade val="62000"/>
                </a:schemeClr>
              </a:solidFill>
              <a:ln/>
              <a:effectLst/>
              <a:sp3d prstMaterial="flat"/>
            </c:spPr>
          </c:bandFmt>
          <c:bandFmt>
            <c:idx val="12"/>
            <c:spPr>
              <a:solidFill>
                <a:schemeClr val="accent1">
                  <a:shade val="65000"/>
                </a:schemeClr>
              </a:solidFill>
              <a:ln/>
              <a:effectLst/>
              <a:sp3d prstMaterial="flat"/>
            </c:spPr>
          </c:bandFmt>
          <c:bandFmt>
            <c:idx val="13"/>
            <c:spPr>
              <a:solidFill>
                <a:schemeClr val="accent1">
                  <a:shade val="67000"/>
                </a:schemeClr>
              </a:solidFill>
              <a:ln/>
              <a:effectLst/>
              <a:sp3d prstMaterial="flat"/>
            </c:spPr>
          </c:bandFmt>
          <c:bandFmt>
            <c:idx val="14"/>
            <c:spPr>
              <a:solidFill>
                <a:schemeClr val="accent1">
                  <a:shade val="70000"/>
                </a:schemeClr>
              </a:solidFill>
              <a:ln/>
              <a:effectLst/>
              <a:sp3d prstMaterial="flat"/>
            </c:spPr>
          </c:bandFmt>
          <c:bandFmt>
            <c:idx val="15"/>
            <c:spPr>
              <a:solidFill>
                <a:schemeClr val="accent1">
                  <a:shade val="73000"/>
                </a:schemeClr>
              </a:solidFill>
              <a:ln/>
              <a:effectLst/>
              <a:sp3d prstMaterial="flat"/>
            </c:spPr>
          </c:bandFmt>
          <c:bandFmt>
            <c:idx val="16"/>
            <c:spPr>
              <a:solidFill>
                <a:schemeClr val="accent1">
                  <a:shade val="75000"/>
                </a:schemeClr>
              </a:solidFill>
              <a:ln/>
              <a:effectLst/>
              <a:sp3d prstMaterial="flat"/>
            </c:spPr>
          </c:bandFmt>
          <c:bandFmt>
            <c:idx val="17"/>
            <c:spPr>
              <a:solidFill>
                <a:schemeClr val="accent1">
                  <a:shade val="78000"/>
                </a:schemeClr>
              </a:solidFill>
              <a:ln/>
              <a:effectLst/>
              <a:sp3d prstMaterial="flat"/>
            </c:spPr>
          </c:bandFmt>
          <c:bandFmt>
            <c:idx val="18"/>
            <c:spPr>
              <a:solidFill>
                <a:schemeClr val="accent1">
                  <a:shade val="81000"/>
                </a:schemeClr>
              </a:solidFill>
              <a:ln/>
              <a:effectLst/>
              <a:sp3d prstMaterial="flat"/>
            </c:spPr>
          </c:bandFmt>
          <c:bandFmt>
            <c:idx val="19"/>
            <c:spPr>
              <a:solidFill>
                <a:schemeClr val="accent1">
                  <a:shade val="83000"/>
                </a:schemeClr>
              </a:solidFill>
              <a:ln/>
              <a:effectLst/>
              <a:sp3d prstMaterial="flat"/>
            </c:spPr>
          </c:bandFmt>
          <c:bandFmt>
            <c:idx val="20"/>
            <c:spPr>
              <a:solidFill>
                <a:schemeClr val="accent1">
                  <a:shade val="86000"/>
                </a:schemeClr>
              </a:solidFill>
              <a:ln/>
              <a:effectLst/>
              <a:sp3d prstMaterial="flat"/>
            </c:spPr>
          </c:bandFmt>
          <c:bandFmt>
            <c:idx val="21"/>
            <c:spPr>
              <a:solidFill>
                <a:schemeClr val="accent1">
                  <a:shade val="89000"/>
                </a:schemeClr>
              </a:solidFill>
              <a:ln/>
              <a:effectLst/>
              <a:sp3d prstMaterial="flat"/>
            </c:spPr>
          </c:bandFmt>
          <c:bandFmt>
            <c:idx val="22"/>
            <c:spPr>
              <a:solidFill>
                <a:schemeClr val="accent1">
                  <a:shade val="91000"/>
                </a:schemeClr>
              </a:solidFill>
              <a:ln/>
              <a:effectLst/>
              <a:sp3d prstMaterial="flat"/>
            </c:spPr>
          </c:bandFmt>
          <c:bandFmt>
            <c:idx val="23"/>
            <c:spPr>
              <a:solidFill>
                <a:schemeClr val="accent1">
                  <a:shade val="94000"/>
                </a:schemeClr>
              </a:solidFill>
              <a:ln/>
              <a:effectLst/>
              <a:sp3d prstMaterial="flat"/>
            </c:spPr>
          </c:bandFmt>
          <c:bandFmt>
            <c:idx val="24"/>
            <c:spPr>
              <a:solidFill>
                <a:schemeClr val="accent1">
                  <a:shade val="97000"/>
                </a:schemeClr>
              </a:solidFill>
              <a:ln/>
              <a:effectLst/>
              <a:sp3d prstMaterial="flat"/>
            </c:spPr>
          </c:bandFmt>
          <c:bandFmt>
            <c:idx val="25"/>
            <c:spPr>
              <a:solidFill>
                <a:schemeClr val="accent1"/>
              </a:solidFill>
              <a:ln/>
              <a:effectLst/>
              <a:sp3d prstMaterial="flat"/>
            </c:spPr>
          </c:bandFmt>
          <c:bandFmt>
            <c:idx val="26"/>
            <c:spPr>
              <a:solidFill>
                <a:schemeClr val="accent1">
                  <a:tint val="98000"/>
                </a:schemeClr>
              </a:solidFill>
              <a:ln/>
              <a:effectLst/>
              <a:sp3d prstMaterial="flat"/>
            </c:spPr>
          </c:bandFmt>
          <c:bandFmt>
            <c:idx val="27"/>
            <c:spPr>
              <a:solidFill>
                <a:schemeClr val="accent1">
                  <a:tint val="95000"/>
                </a:schemeClr>
              </a:solidFill>
              <a:ln/>
              <a:effectLst/>
              <a:sp3d prstMaterial="flat"/>
            </c:spPr>
          </c:bandFmt>
          <c:bandFmt>
            <c:idx val="28"/>
            <c:spPr>
              <a:solidFill>
                <a:schemeClr val="accent1">
                  <a:tint val="92000"/>
                </a:schemeClr>
              </a:solidFill>
              <a:ln/>
              <a:effectLst/>
              <a:sp3d prstMaterial="flat"/>
            </c:spPr>
          </c:bandFmt>
          <c:bandFmt>
            <c:idx val="29"/>
            <c:spPr>
              <a:solidFill>
                <a:schemeClr val="accent1">
                  <a:tint val="90000"/>
                </a:schemeClr>
              </a:solidFill>
              <a:ln/>
              <a:effectLst/>
              <a:sp3d prstMaterial="flat"/>
            </c:spPr>
          </c:bandFmt>
          <c:bandFmt>
            <c:idx val="30"/>
            <c:spPr>
              <a:solidFill>
                <a:schemeClr val="accent1">
                  <a:tint val="87000"/>
                </a:schemeClr>
              </a:solidFill>
              <a:ln/>
              <a:effectLst/>
              <a:sp3d prstMaterial="flat"/>
            </c:spPr>
          </c:bandFmt>
          <c:bandFmt>
            <c:idx val="31"/>
            <c:spPr>
              <a:solidFill>
                <a:schemeClr val="accent1">
                  <a:tint val="84000"/>
                </a:schemeClr>
              </a:solidFill>
              <a:ln/>
              <a:effectLst/>
              <a:sp3d prstMaterial="flat"/>
            </c:spPr>
          </c:bandFmt>
          <c:bandFmt>
            <c:idx val="32"/>
            <c:spPr>
              <a:solidFill>
                <a:schemeClr val="accent1">
                  <a:tint val="82000"/>
                </a:schemeClr>
              </a:solidFill>
              <a:ln/>
              <a:effectLst/>
              <a:sp3d prstMaterial="flat"/>
            </c:spPr>
          </c:bandFmt>
          <c:bandFmt>
            <c:idx val="33"/>
            <c:spPr>
              <a:solidFill>
                <a:schemeClr val="accent1">
                  <a:tint val="79000"/>
                </a:schemeClr>
              </a:solidFill>
              <a:ln/>
              <a:effectLst/>
              <a:sp3d prstMaterial="flat"/>
            </c:spPr>
          </c:bandFmt>
          <c:bandFmt>
            <c:idx val="34"/>
            <c:spPr>
              <a:solidFill>
                <a:schemeClr val="accent1">
                  <a:tint val="76000"/>
                </a:schemeClr>
              </a:solidFill>
              <a:ln/>
              <a:effectLst/>
              <a:sp3d prstMaterial="flat"/>
            </c:spPr>
          </c:bandFmt>
          <c:bandFmt>
            <c:idx val="35"/>
            <c:spPr>
              <a:solidFill>
                <a:schemeClr val="accent1">
                  <a:tint val="74000"/>
                </a:schemeClr>
              </a:solidFill>
              <a:ln/>
              <a:effectLst/>
              <a:sp3d prstMaterial="flat"/>
            </c:spPr>
          </c:bandFmt>
          <c:bandFmt>
            <c:idx val="36"/>
            <c:spPr>
              <a:solidFill>
                <a:schemeClr val="accent1">
                  <a:tint val="71000"/>
                </a:schemeClr>
              </a:solidFill>
              <a:ln/>
              <a:effectLst/>
              <a:sp3d prstMaterial="flat"/>
            </c:spPr>
          </c:bandFmt>
          <c:bandFmt>
            <c:idx val="37"/>
            <c:spPr>
              <a:solidFill>
                <a:schemeClr val="accent1">
                  <a:tint val="68000"/>
                </a:schemeClr>
              </a:solidFill>
              <a:ln/>
              <a:effectLst/>
              <a:sp3d prstMaterial="flat"/>
            </c:spPr>
          </c:bandFmt>
          <c:bandFmt>
            <c:idx val="38"/>
            <c:spPr>
              <a:solidFill>
                <a:schemeClr val="accent1">
                  <a:tint val="65000"/>
                </a:schemeClr>
              </a:solidFill>
              <a:ln/>
              <a:effectLst/>
              <a:sp3d prstMaterial="flat"/>
            </c:spPr>
          </c:bandFmt>
          <c:bandFmt>
            <c:idx val="39"/>
            <c:spPr>
              <a:solidFill>
                <a:schemeClr val="accent1">
                  <a:tint val="63000"/>
                </a:schemeClr>
              </a:solidFill>
              <a:ln/>
              <a:effectLst/>
              <a:sp3d prstMaterial="flat"/>
            </c:spPr>
          </c:bandFmt>
          <c:bandFmt>
            <c:idx val="40"/>
            <c:spPr>
              <a:solidFill>
                <a:schemeClr val="accent1">
                  <a:tint val="60000"/>
                </a:schemeClr>
              </a:solidFill>
              <a:ln/>
              <a:effectLst/>
              <a:sp3d prstMaterial="flat"/>
            </c:spPr>
          </c:bandFmt>
          <c:bandFmt>
            <c:idx val="41"/>
            <c:spPr>
              <a:solidFill>
                <a:schemeClr val="accent1">
                  <a:tint val="57000"/>
                </a:schemeClr>
              </a:solidFill>
              <a:ln/>
              <a:effectLst/>
              <a:sp3d prstMaterial="flat"/>
            </c:spPr>
          </c:bandFmt>
          <c:bandFmt>
            <c:idx val="42"/>
            <c:spPr>
              <a:solidFill>
                <a:schemeClr val="accent1">
                  <a:tint val="55000"/>
                </a:schemeClr>
              </a:solidFill>
              <a:ln/>
              <a:effectLst/>
              <a:sp3d prstMaterial="flat"/>
            </c:spPr>
          </c:bandFmt>
          <c:bandFmt>
            <c:idx val="43"/>
            <c:spPr>
              <a:solidFill>
                <a:schemeClr val="accent1">
                  <a:tint val="52000"/>
                </a:schemeClr>
              </a:solidFill>
              <a:ln/>
              <a:effectLst/>
              <a:sp3d prstMaterial="flat"/>
            </c:spPr>
          </c:bandFmt>
          <c:bandFmt>
            <c:idx val="44"/>
            <c:spPr>
              <a:solidFill>
                <a:schemeClr val="accent1">
                  <a:tint val="49000"/>
                </a:schemeClr>
              </a:solidFill>
              <a:ln/>
              <a:effectLst/>
              <a:sp3d prstMaterial="flat"/>
            </c:spPr>
          </c:bandFmt>
          <c:bandFmt>
            <c:idx val="45"/>
            <c:spPr>
              <a:solidFill>
                <a:schemeClr val="accent1">
                  <a:tint val="47000"/>
                </a:schemeClr>
              </a:solidFill>
              <a:ln/>
              <a:effectLst/>
              <a:sp3d prstMaterial="flat"/>
            </c:spPr>
          </c:bandFmt>
          <c:bandFmt>
            <c:idx val="46"/>
            <c:spPr>
              <a:solidFill>
                <a:schemeClr val="accent1">
                  <a:tint val="44000"/>
                </a:schemeClr>
              </a:solidFill>
              <a:ln/>
              <a:effectLst/>
              <a:sp3d prstMaterial="flat"/>
            </c:spPr>
          </c:bandFmt>
          <c:bandFmt>
            <c:idx val="47"/>
            <c:spPr>
              <a:solidFill>
                <a:schemeClr val="accent1">
                  <a:tint val="41000"/>
                </a:schemeClr>
              </a:solidFill>
              <a:ln/>
              <a:effectLst/>
              <a:sp3d prstMaterial="flat"/>
            </c:spPr>
          </c:bandFmt>
          <c:bandFmt>
            <c:idx val="48"/>
            <c:spPr>
              <a:solidFill>
                <a:schemeClr val="accent1">
                  <a:tint val="39000"/>
                </a:schemeClr>
              </a:solidFill>
              <a:ln/>
              <a:effectLst/>
              <a:sp3d prstMaterial="flat"/>
            </c:spPr>
          </c:bandFmt>
          <c:bandFmt>
            <c:idx val="49"/>
            <c:spPr>
              <a:solidFill>
                <a:schemeClr val="accent1">
                  <a:tint val="36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886482939632541E-2"/>
          <c:y val="0.15782407407407409"/>
          <c:w val="0.89022462817147852"/>
          <c:h val="0.720887649460484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'Figure Backup'!$C$3:$C$10</c:f>
              <c:numCache>
                <c:formatCode>General</c:formatCode>
                <c:ptCount val="8"/>
                <c:pt idx="0">
                  <c:v>1</c:v>
                </c:pt>
                <c:pt idx="1">
                  <c:v>0.61818181818181817</c:v>
                </c:pt>
                <c:pt idx="2">
                  <c:v>0.43636363636363634</c:v>
                </c:pt>
                <c:pt idx="3">
                  <c:v>0.81818181818181823</c:v>
                </c:pt>
                <c:pt idx="4">
                  <c:v>0.2</c:v>
                </c:pt>
                <c:pt idx="5">
                  <c:v>0.38181818181818183</c:v>
                </c:pt>
                <c:pt idx="6">
                  <c:v>0.41818181818181815</c:v>
                </c:pt>
                <c:pt idx="7">
                  <c:v>0.14545454545454545</c:v>
                </c:pt>
              </c:numCache>
            </c:numRef>
          </c:xVal>
          <c:yVal>
            <c:numRef>
              <c:f>'Figure Backup'!$B$3:$B$10</c:f>
              <c:numCache>
                <c:formatCode>General</c:formatCode>
                <c:ptCount val="8"/>
                <c:pt idx="0">
                  <c:v>0.33333333333333331</c:v>
                </c:pt>
                <c:pt idx="1">
                  <c:v>0.51515151515151514</c:v>
                </c:pt>
                <c:pt idx="2">
                  <c:v>0.31818181818181818</c:v>
                </c:pt>
                <c:pt idx="3">
                  <c:v>0.34848484848484851</c:v>
                </c:pt>
                <c:pt idx="4">
                  <c:v>0.66666666666666663</c:v>
                </c:pt>
                <c:pt idx="5">
                  <c:v>1</c:v>
                </c:pt>
                <c:pt idx="6">
                  <c:v>0.68181818181818177</c:v>
                </c:pt>
                <c:pt idx="7">
                  <c:v>0.51515151515151514</c:v>
                </c:pt>
              </c:numCache>
            </c:numRef>
          </c:yVal>
          <c:smooth val="0"/>
          <c:extLst>
            <c:ext xmlns:c16="http://schemas.microsoft.com/office/drawing/2014/chart" uri="{C3380CC4-5D6E-409C-BE32-E72D297353CC}">
              <c16:uniqueId val="{00000000-29EE-401F-BB7E-BD46B88D81DE}"/>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2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00-A1B8-4B7E-8C31-14F2FDA4B3BD}"/>
            </c:ext>
          </c:extLst>
        </c:ser>
        <c:ser>
          <c:idx val="19"/>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01-A1B8-4B7E-8C31-14F2FDA4B3BD}"/>
            </c:ext>
          </c:extLst>
        </c:ser>
        <c:ser>
          <c:idx val="18"/>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02-A1B8-4B7E-8C31-14F2FDA4B3BD}"/>
            </c:ext>
          </c:extLst>
        </c:ser>
        <c:ser>
          <c:idx val="17"/>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03-A1B8-4B7E-8C31-14F2FDA4B3BD}"/>
            </c:ext>
          </c:extLst>
        </c:ser>
        <c:ser>
          <c:idx val="16"/>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04-A1B8-4B7E-8C31-14F2FDA4B3BD}"/>
            </c:ext>
          </c:extLst>
        </c:ser>
        <c:ser>
          <c:idx val="1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5-A1B8-4B7E-8C31-14F2FDA4B3BD}"/>
            </c:ext>
          </c:extLst>
        </c:ser>
        <c:ser>
          <c:idx val="14"/>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6-A1B8-4B7E-8C31-14F2FDA4B3BD}"/>
            </c:ext>
          </c:extLst>
        </c:ser>
        <c:ser>
          <c:idx val="13"/>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7-A1B8-4B7E-8C31-14F2FDA4B3BD}"/>
            </c:ext>
          </c:extLst>
        </c:ser>
        <c:ser>
          <c:idx val="12"/>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8-A1B8-4B7E-8C31-14F2FDA4B3BD}"/>
            </c:ext>
          </c:extLst>
        </c:ser>
        <c:ser>
          <c:idx val="11"/>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9-A1B8-4B7E-8C31-14F2FDA4B3BD}"/>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A1B8-4B7E-8C31-14F2FDA4B3BD}"/>
            </c:ext>
          </c:extLst>
        </c:ser>
        <c:ser>
          <c:idx val="9"/>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B-A1B8-4B7E-8C31-14F2FDA4B3BD}"/>
            </c:ext>
          </c:extLst>
        </c:ser>
        <c:ser>
          <c:idx val="8"/>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C-A1B8-4B7E-8C31-14F2FDA4B3BD}"/>
            </c:ext>
          </c:extLst>
        </c:ser>
        <c:ser>
          <c:idx val="7"/>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D-A1B8-4B7E-8C31-14F2FDA4B3BD}"/>
            </c:ext>
          </c:extLst>
        </c:ser>
        <c:ser>
          <c:idx val="6"/>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E-A1B8-4B7E-8C31-14F2FDA4B3BD}"/>
            </c:ext>
          </c:extLst>
        </c:ser>
        <c:ser>
          <c:idx val="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F-A1B8-4B7E-8C31-14F2FDA4B3BD}"/>
            </c:ext>
          </c:extLst>
        </c:ser>
        <c:ser>
          <c:idx val="4"/>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10-A1B8-4B7E-8C31-14F2FDA4B3BD}"/>
            </c:ext>
          </c:extLst>
        </c:ser>
        <c:ser>
          <c:idx val="3"/>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11-A1B8-4B7E-8C31-14F2FDA4B3BD}"/>
            </c:ext>
          </c:extLst>
        </c:ser>
        <c:ser>
          <c:idx val="2"/>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12-A1B8-4B7E-8C31-14F2FDA4B3BD}"/>
            </c:ext>
          </c:extLst>
        </c:ser>
        <c:ser>
          <c:idx val="1"/>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13-A1B8-4B7E-8C31-14F2FDA4B3BD}"/>
            </c:ext>
          </c:extLst>
        </c:ser>
        <c:ser>
          <c:idx val="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14-A1B8-4B7E-8C31-14F2FDA4B3BD}"/>
            </c:ext>
          </c:extLst>
        </c:ser>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14.png"/><Relationship Id="rId7" Type="http://schemas.openxmlformats.org/officeDocument/2006/relationships/chart" Target="../charts/chart5.xml"/><Relationship Id="rId12" Type="http://schemas.openxmlformats.org/officeDocument/2006/relationships/image" Target="../media/image5.png"/><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chart" Target="../charts/chart1.xml"/><Relationship Id="rId16" Type="http://schemas.openxmlformats.org/officeDocument/2006/relationships/image" Target="../media/image9.png"/><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4.png"/><Relationship Id="rId24" Type="http://schemas.openxmlformats.org/officeDocument/2006/relationships/image" Target="../media/image17.png"/><Relationship Id="rId5" Type="http://schemas.openxmlformats.org/officeDocument/2006/relationships/chart" Target="../charts/chart3.xml"/><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image" Target="../media/image3.png"/><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chart" Target="../charts/chart7.xml"/><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22</xdr:col>
      <xdr:colOff>678391</xdr:colOff>
      <xdr:row>24</xdr:row>
      <xdr:rowOff>78318</xdr:rowOff>
    </xdr:from>
    <xdr:to>
      <xdr:col>24</xdr:col>
      <xdr:colOff>563055</xdr:colOff>
      <xdr:row>28</xdr:row>
      <xdr:rowOff>35985</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14759516" y="4515381"/>
          <a:ext cx="1229277" cy="687917"/>
        </a:xfrm>
        <a:prstGeom prst="rect">
          <a:avLst/>
        </a:prstGeom>
      </xdr:spPr>
    </xdr:pic>
    <xdr:clientData/>
  </xdr:twoCellAnchor>
  <xdr:twoCellAnchor>
    <xdr:from>
      <xdr:col>33</xdr:col>
      <xdr:colOff>246590</xdr:colOff>
      <xdr:row>2</xdr:row>
      <xdr:rowOff>0</xdr:rowOff>
    </xdr:from>
    <xdr:to>
      <xdr:col>33</xdr:col>
      <xdr:colOff>309562</xdr:colOff>
      <xdr:row>55</xdr:row>
      <xdr:rowOff>11906</xdr:rowOff>
    </xdr:to>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a:off x="21058715" y="369094"/>
          <a:ext cx="62972" cy="9548812"/>
        </a:xfrm>
        <a:prstGeom prst="line">
          <a:avLst/>
        </a:prstGeom>
        <a:ln w="15875">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784341</xdr:colOff>
      <xdr:row>15</xdr:row>
      <xdr:rowOff>56605</xdr:rowOff>
    </xdr:from>
    <xdr:to>
      <xdr:col>21</xdr:col>
      <xdr:colOff>530812</xdr:colOff>
      <xdr:row>45</xdr:row>
      <xdr:rowOff>171720</xdr:rowOff>
    </xdr:to>
    <xdr:grpSp>
      <xdr:nvGrpSpPr>
        <xdr:cNvPr id="77" name="Group 76">
          <a:extLst>
            <a:ext uri="{FF2B5EF4-FFF2-40B4-BE49-F238E27FC236}">
              <a16:creationId xmlns:a16="http://schemas.microsoft.com/office/drawing/2014/main" id="{00000000-0008-0000-0000-00004D000000}"/>
            </a:ext>
          </a:extLst>
        </xdr:cNvPr>
        <xdr:cNvGrpSpPr/>
      </xdr:nvGrpSpPr>
      <xdr:grpSpPr>
        <a:xfrm>
          <a:off x="7758578" y="2876436"/>
          <a:ext cx="6279437" cy="5604098"/>
          <a:chOff x="6903947" y="2956985"/>
          <a:chExt cx="5936747" cy="5839187"/>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6903947" y="2956985"/>
            <a:ext cx="5936747" cy="5839187"/>
            <a:chOff x="6812662" y="4110567"/>
            <a:chExt cx="5960292" cy="5511104"/>
          </a:xfrm>
        </xdr:grpSpPr>
        <xdr:graphicFrame macro="">
          <xdr:nvGraphicFramePr>
            <xdr:cNvPr id="67" name="Chart 66">
              <a:extLst>
                <a:ext uri="{FF2B5EF4-FFF2-40B4-BE49-F238E27FC236}">
                  <a16:creationId xmlns:a16="http://schemas.microsoft.com/office/drawing/2014/main" id="{00000000-0008-0000-0000-000043000000}"/>
                </a:ext>
              </a:extLst>
            </xdr:cNvPr>
            <xdr:cNvGraphicFramePr>
              <a:graphicFrameLocks/>
            </xdr:cNvGraphicFramePr>
          </xdr:nvGraphicFramePr>
          <xdr:xfrm>
            <a:off x="6879165" y="4110567"/>
            <a:ext cx="5893789" cy="55111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6812662" y="4529666"/>
            <a:ext cx="5125507" cy="4688418"/>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4"/>
          <a:stretch>
            <a:fillRect/>
          </a:stretch>
        </xdr:blipFill>
        <xdr:spPr>
          <a:xfrm>
            <a:off x="7162800" y="3117850"/>
            <a:ext cx="825661" cy="1631950"/>
          </a:xfrm>
          <a:prstGeom prst="rect">
            <a:avLst/>
          </a:prstGeom>
        </xdr:spPr>
      </xdr:pic>
    </xdr:grpSp>
    <xdr:clientData/>
  </xdr:twoCellAnchor>
  <xdr:twoCellAnchor>
    <xdr:from>
      <xdr:col>4</xdr:col>
      <xdr:colOff>244535</xdr:colOff>
      <xdr:row>32</xdr:row>
      <xdr:rowOff>139331</xdr:rowOff>
    </xdr:from>
    <xdr:to>
      <xdr:col>11</xdr:col>
      <xdr:colOff>562740</xdr:colOff>
      <xdr:row>44</xdr:row>
      <xdr:rowOff>111651</xdr:rowOff>
    </xdr:to>
    <xdr:grpSp>
      <xdr:nvGrpSpPr>
        <xdr:cNvPr id="106" name="Group 105">
          <a:extLst>
            <a:ext uri="{FF2B5EF4-FFF2-40B4-BE49-F238E27FC236}">
              <a16:creationId xmlns:a16="http://schemas.microsoft.com/office/drawing/2014/main" id="{00000000-0008-0000-0000-00006A000000}"/>
            </a:ext>
          </a:extLst>
        </xdr:cNvPr>
        <xdr:cNvGrpSpPr/>
      </xdr:nvGrpSpPr>
      <xdr:grpSpPr>
        <a:xfrm>
          <a:off x="2698433" y="6069585"/>
          <a:ext cx="4838544" cy="2167913"/>
          <a:chOff x="762977" y="2965722"/>
          <a:chExt cx="4811238" cy="2176502"/>
        </a:xfrm>
      </xdr:grpSpPr>
      <xdr:sp macro="" textlink="">
        <xdr:nvSpPr>
          <xdr:cNvPr id="126" name="Rectangle 125">
            <a:extLst>
              <a:ext uri="{FF2B5EF4-FFF2-40B4-BE49-F238E27FC236}">
                <a16:creationId xmlns:a16="http://schemas.microsoft.com/office/drawing/2014/main" id="{00000000-0008-0000-0000-00007E000000}"/>
              </a:ext>
            </a:extLst>
          </xdr:cNvPr>
          <xdr:cNvSpPr/>
        </xdr:nvSpPr>
        <xdr:spPr>
          <a:xfrm>
            <a:off x="762977" y="2986210"/>
            <a:ext cx="4811238" cy="2156014"/>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187938" y="3565769"/>
                <a:ext cx="1838081" cy="604471"/>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Perform Single Iteration</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234837" y="3571876"/>
                <a:ext cx="1851269" cy="586153"/>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Remove Iteration History</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40777" y="4414471"/>
                <a:ext cx="1405304" cy="53681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Random</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434981" y="4414471"/>
                <a:ext cx="1418981" cy="5431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Good Start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968262" y="4382721"/>
                <a:ext cx="1418003" cy="5558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Bad Start</a:t>
                </a:r>
              </a:p>
            </xdr:txBody>
          </xdr:sp>
        </mc:Choice>
        <mc:Fallback/>
      </mc:AlternateContent>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487582" y="2965722"/>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Spreadsheet</a:t>
            </a:r>
            <a:r>
              <a:rPr lang="en-GB" sz="1800" b="1" u="sng" baseline="0">
                <a:solidFill>
                  <a:schemeClr val="tx1">
                    <a:lumMod val="85000"/>
                    <a:lumOff val="15000"/>
                  </a:schemeClr>
                </a:solidFill>
              </a:rPr>
              <a:t> Functions</a:t>
            </a:r>
            <a:endParaRPr lang="en-GB" sz="1800" b="1" u="sng">
              <a:solidFill>
                <a:schemeClr val="tx1">
                  <a:lumMod val="85000"/>
                  <a:lumOff val="15000"/>
                </a:schemeClr>
              </a:solidFill>
            </a:endParaRPr>
          </a:p>
        </xdr:txBody>
      </xdr:sp>
    </xdr:grpSp>
    <xdr:clientData/>
  </xdr:twoCellAnchor>
  <xdr:twoCellAnchor>
    <xdr:from>
      <xdr:col>0</xdr:col>
      <xdr:colOff>495481</xdr:colOff>
      <xdr:row>47</xdr:row>
      <xdr:rowOff>12511</xdr:rowOff>
    </xdr:from>
    <xdr:to>
      <xdr:col>27</xdr:col>
      <xdr:colOff>96309</xdr:colOff>
      <xdr:row>68</xdr:row>
      <xdr:rowOff>142130</xdr:rowOff>
    </xdr:to>
    <xdr:grpSp>
      <xdr:nvGrpSpPr>
        <xdr:cNvPr id="117" name="Group 116">
          <a:extLst>
            <a:ext uri="{FF2B5EF4-FFF2-40B4-BE49-F238E27FC236}">
              <a16:creationId xmlns:a16="http://schemas.microsoft.com/office/drawing/2014/main" id="{00000000-0008-0000-0000-000075000000}"/>
            </a:ext>
          </a:extLst>
        </xdr:cNvPr>
        <xdr:cNvGrpSpPr/>
      </xdr:nvGrpSpPr>
      <xdr:grpSpPr>
        <a:xfrm>
          <a:off x="495481" y="8687257"/>
          <a:ext cx="16907269" cy="3971907"/>
          <a:chOff x="6350000" y="9118600"/>
          <a:chExt cx="16829258" cy="4114800"/>
        </a:xfrm>
      </xdr:grpSpPr>
      <xdr:sp macro="" textlink="">
        <xdr:nvSpPr>
          <xdr:cNvPr id="130" name="Rectangle 129">
            <a:extLst>
              <a:ext uri="{FF2B5EF4-FFF2-40B4-BE49-F238E27FC236}">
                <a16:creationId xmlns:a16="http://schemas.microsoft.com/office/drawing/2014/main" id="{00000000-0008-0000-0000-000082000000}"/>
              </a:ext>
            </a:extLst>
          </xdr:cNvPr>
          <xdr:cNvSpPr/>
        </xdr:nvSpPr>
        <xdr:spPr>
          <a:xfrm>
            <a:off x="6350000" y="9118600"/>
            <a:ext cx="16829258" cy="41148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6883308" y="10512001"/>
          <a:ext cx="2894319" cy="238811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1" name="Chart 60">
            <a:extLst>
              <a:ext uri="{FF2B5EF4-FFF2-40B4-BE49-F238E27FC236}">
                <a16:creationId xmlns:a16="http://schemas.microsoft.com/office/drawing/2014/main" id="{00000000-0008-0000-0000-00003D000000}"/>
              </a:ext>
            </a:extLst>
          </xdr:cNvPr>
          <xdr:cNvGraphicFramePr>
            <a:graphicFrameLocks/>
          </xdr:cNvGraphicFramePr>
        </xdr:nvGraphicFramePr>
        <xdr:xfrm>
          <a:off x="10192607" y="10494663"/>
          <a:ext cx="2887455" cy="237781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13492892" y="10482991"/>
          <a:ext cx="2887111" cy="238811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16764687" y="10491229"/>
          <a:ext cx="2887111" cy="237781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19959251" y="10503586"/>
          <a:ext cx="2887454" cy="2377813"/>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31" name="Rectangle 130">
            <a:extLst>
              <a:ext uri="{FF2B5EF4-FFF2-40B4-BE49-F238E27FC236}">
                <a16:creationId xmlns:a16="http://schemas.microsoft.com/office/drawing/2014/main" id="{00000000-0008-0000-0000-000083000000}"/>
              </a:ext>
            </a:extLst>
          </xdr:cNvPr>
          <xdr:cNvSpPr/>
        </xdr:nvSpPr>
        <xdr:spPr>
          <a:xfrm>
            <a:off x="11776551" y="9183664"/>
            <a:ext cx="5765312" cy="741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X-Plotting</a:t>
            </a:r>
            <a:r>
              <a:rPr lang="en-GB" sz="1800" b="1" u="sng" baseline="0">
                <a:solidFill>
                  <a:schemeClr val="tx1">
                    <a:lumMod val="85000"/>
                    <a:lumOff val="15000"/>
                  </a:schemeClr>
                </a:solidFill>
              </a:rPr>
              <a:t> Trainable Model Paremeters Against Cost </a:t>
            </a:r>
          </a:p>
          <a:p>
            <a:pPr algn="ctr"/>
            <a:r>
              <a:rPr lang="en-GB" sz="1400" b="0" i="1" u="none" baseline="0">
                <a:solidFill>
                  <a:schemeClr val="tx1">
                    <a:lumMod val="85000"/>
                    <a:lumOff val="15000"/>
                  </a:schemeClr>
                </a:solidFill>
              </a:rPr>
              <a:t>Dynamic x-plots update upon each iteration</a:t>
            </a:r>
            <a:endParaRPr lang="en-GB" sz="1400" b="0" i="1" u="none">
              <a:solidFill>
                <a:schemeClr val="tx1">
                  <a:lumMod val="85000"/>
                  <a:lumOff val="15000"/>
                </a:schemeClr>
              </a:solidFill>
            </a:endParaRPr>
          </a:p>
        </xdr:txBody>
      </xdr:sp>
      <xdr:sp macro="" textlink="">
        <xdr:nvSpPr>
          <xdr:cNvPr id="132" name="Rectangle 131">
            <a:extLst>
              <a:ext uri="{FF2B5EF4-FFF2-40B4-BE49-F238E27FC236}">
                <a16:creationId xmlns:a16="http://schemas.microsoft.com/office/drawing/2014/main" id="{00000000-0008-0000-0000-000084000000}"/>
              </a:ext>
            </a:extLst>
          </xdr:cNvPr>
          <xdr:cNvSpPr/>
        </xdr:nvSpPr>
        <xdr:spPr>
          <a:xfrm>
            <a:off x="7455388" y="100156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3</a:t>
            </a:r>
            <a:endParaRPr lang="en-GB" sz="1400" b="0" i="1" u="none">
              <a:solidFill>
                <a:schemeClr val="tx1">
                  <a:lumMod val="85000"/>
                  <a:lumOff val="15000"/>
                </a:schemeClr>
              </a:solidFill>
            </a:endParaRPr>
          </a:p>
        </xdr:txBody>
      </xdr:sp>
      <xdr:sp macro="" textlink="">
        <xdr:nvSpPr>
          <xdr:cNvPr id="133" name="Rectangle 132">
            <a:extLst>
              <a:ext uri="{FF2B5EF4-FFF2-40B4-BE49-F238E27FC236}">
                <a16:creationId xmlns:a16="http://schemas.microsoft.com/office/drawing/2014/main" id="{00000000-0008-0000-0000-000085000000}"/>
              </a:ext>
            </a:extLst>
          </xdr:cNvPr>
          <xdr:cNvSpPr/>
        </xdr:nvSpPr>
        <xdr:spPr>
          <a:xfrm>
            <a:off x="10770088" y="99648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400" b="0" i="1" u="none">
              <a:solidFill>
                <a:schemeClr val="tx1">
                  <a:lumMod val="85000"/>
                  <a:lumOff val="15000"/>
                </a:schemeClr>
              </a:solidFill>
            </a:endParaRPr>
          </a:p>
        </xdr:txBody>
      </xdr:sp>
      <xdr:sp macro="" textlink="">
        <xdr:nvSpPr>
          <xdr:cNvPr id="134" name="Rectangle 133">
            <a:extLst>
              <a:ext uri="{FF2B5EF4-FFF2-40B4-BE49-F238E27FC236}">
                <a16:creationId xmlns:a16="http://schemas.microsoft.com/office/drawing/2014/main" id="{00000000-0008-0000-0000-000086000000}"/>
              </a:ext>
            </a:extLst>
          </xdr:cNvPr>
          <xdr:cNvSpPr/>
        </xdr:nvSpPr>
        <xdr:spPr>
          <a:xfrm>
            <a:off x="14072088" y="99267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5" name="Rectangle 134">
            <a:extLst>
              <a:ext uri="{FF2B5EF4-FFF2-40B4-BE49-F238E27FC236}">
                <a16:creationId xmlns:a16="http://schemas.microsoft.com/office/drawing/2014/main" id="{00000000-0008-0000-0000-000087000000}"/>
              </a:ext>
            </a:extLst>
          </xdr:cNvPr>
          <xdr:cNvSpPr/>
        </xdr:nvSpPr>
        <xdr:spPr>
          <a:xfrm>
            <a:off x="17437588" y="99140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20688788" y="99013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grpSp>
    <xdr:clientData/>
  </xdr:twoCellAnchor>
  <xdr:twoCellAnchor>
    <xdr:from>
      <xdr:col>0</xdr:col>
      <xdr:colOff>530286</xdr:colOff>
      <xdr:row>32</xdr:row>
      <xdr:rowOff>95251</xdr:rowOff>
    </xdr:from>
    <xdr:to>
      <xdr:col>4</xdr:col>
      <xdr:colOff>42334</xdr:colOff>
      <xdr:row>44</xdr:row>
      <xdr:rowOff>105834</xdr:rowOff>
    </xdr:to>
    <xdr:grpSp>
      <xdr:nvGrpSpPr>
        <xdr:cNvPr id="1032" name="Group 1031">
          <a:extLst>
            <a:ext uri="{FF2B5EF4-FFF2-40B4-BE49-F238E27FC236}">
              <a16:creationId xmlns:a16="http://schemas.microsoft.com/office/drawing/2014/main" id="{00000000-0008-0000-0000-000008040000}"/>
            </a:ext>
          </a:extLst>
        </xdr:cNvPr>
        <xdr:cNvGrpSpPr/>
      </xdr:nvGrpSpPr>
      <xdr:grpSpPr>
        <a:xfrm>
          <a:off x="530286" y="6025505"/>
          <a:ext cx="1965946" cy="2206176"/>
          <a:chOff x="3557119" y="7175500"/>
          <a:chExt cx="1967381" cy="2169583"/>
        </a:xfrm>
      </xdr:grpSpPr>
      <xdr:sp macro="" textlink="">
        <xdr:nvSpPr>
          <xdr:cNvPr id="193" name="Rectangle 192">
            <a:extLst>
              <a:ext uri="{FF2B5EF4-FFF2-40B4-BE49-F238E27FC236}">
                <a16:creationId xmlns:a16="http://schemas.microsoft.com/office/drawing/2014/main" id="{00000000-0008-0000-0000-0000C1000000}"/>
              </a:ext>
            </a:extLst>
          </xdr:cNvPr>
          <xdr:cNvSpPr/>
        </xdr:nvSpPr>
        <xdr:spPr>
          <a:xfrm>
            <a:off x="3557119" y="7175500"/>
            <a:ext cx="1967381" cy="2169583"/>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4" name="Rectangle 193">
            <a:extLst>
              <a:ext uri="{FF2B5EF4-FFF2-40B4-BE49-F238E27FC236}">
                <a16:creationId xmlns:a16="http://schemas.microsoft.com/office/drawing/2014/main" id="{00000000-0008-0000-0000-0000C2000000}"/>
              </a:ext>
            </a:extLst>
          </xdr:cNvPr>
          <xdr:cNvSpPr/>
        </xdr:nvSpPr>
        <xdr:spPr>
          <a:xfrm>
            <a:off x="3575655" y="7249586"/>
            <a:ext cx="1948845" cy="20214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Written</a:t>
            </a:r>
            <a:r>
              <a:rPr lang="en-GB" sz="1100" b="1" baseline="0">
                <a:solidFill>
                  <a:schemeClr val="tx1">
                    <a:lumMod val="85000"/>
                    <a:lumOff val="15000"/>
                  </a:schemeClr>
                </a:solidFill>
              </a:rPr>
              <a:t> by Matt Haythornthwaite</a:t>
            </a:r>
          </a:p>
          <a:p>
            <a:pPr algn="l"/>
            <a:endParaRPr lang="en-GB" sz="1100" b="1" i="0" u="none" strike="noStrike">
              <a:solidFill>
                <a:schemeClr val="tx1">
                  <a:lumMod val="85000"/>
                  <a:lumOff val="15000"/>
                </a:schemeClr>
              </a:solidFill>
              <a:effectLst/>
              <a:latin typeface="+mn-lt"/>
              <a:ea typeface="+mn-ea"/>
              <a:cs typeface="+mn-cs"/>
            </a:endParaRPr>
          </a:p>
          <a:p>
            <a:pPr algn="l"/>
            <a:r>
              <a:rPr lang="en-GB" sz="1100" b="0" i="0" u="none" strike="noStrike">
                <a:solidFill>
                  <a:schemeClr val="tx1">
                    <a:lumMod val="85000"/>
                    <a:lumOff val="15000"/>
                  </a:schemeClr>
                </a:solidFill>
                <a:effectLst/>
                <a:latin typeface="+mn-lt"/>
                <a:ea typeface="+mn-ea"/>
                <a:cs typeface="+mn-cs"/>
              </a:rPr>
              <a:t>Feel free to contact me on linkedin for more</a:t>
            </a:r>
            <a:r>
              <a:rPr lang="en-GB" sz="1100" b="0" i="0" u="none" strike="noStrike" baseline="0">
                <a:solidFill>
                  <a:schemeClr val="tx1">
                    <a:lumMod val="85000"/>
                    <a:lumOff val="15000"/>
                  </a:schemeClr>
                </a:solidFill>
                <a:effectLst/>
                <a:latin typeface="+mn-lt"/>
                <a:ea typeface="+mn-ea"/>
                <a:cs typeface="+mn-cs"/>
              </a:rPr>
              <a:t> information</a:t>
            </a:r>
            <a:r>
              <a:rPr lang="en-GB" sz="1100" b="0" i="0" u="none" strike="noStrike">
                <a:solidFill>
                  <a:schemeClr val="tx1">
                    <a:lumMod val="85000"/>
                    <a:lumOff val="15000"/>
                  </a:schemeClr>
                </a:solidFill>
                <a:effectLst/>
                <a:latin typeface="+mn-lt"/>
                <a:ea typeface="+mn-ea"/>
                <a:cs typeface="+mn-cs"/>
              </a:rPr>
              <a:t>  </a:t>
            </a:r>
            <a:r>
              <a:rPr lang="en-GB" b="0">
                <a:solidFill>
                  <a:schemeClr val="tx1">
                    <a:lumMod val="85000"/>
                    <a:lumOff val="15000"/>
                  </a:schemeClr>
                </a:solidFill>
              </a:rPr>
              <a:t> </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https://github.com/mhaythornthwaite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https://www.linkedin.com/in/matthewhaythornthwaite/</a:t>
            </a:r>
          </a:p>
          <a:p>
            <a:pPr algn="l"/>
            <a:endParaRPr lang="en-GB" sz="1100" b="0" baseline="0">
              <a:solidFill>
                <a:schemeClr val="tx1">
                  <a:lumMod val="85000"/>
                  <a:lumOff val="15000"/>
                </a:schemeClr>
              </a:solidFill>
            </a:endParaRPr>
          </a:p>
        </xdr:txBody>
      </xdr:sp>
    </xdr:grpSp>
    <xdr:clientData/>
  </xdr:twoCellAnchor>
  <xdr:twoCellAnchor>
    <xdr:from>
      <xdr:col>0</xdr:col>
      <xdr:colOff>552790</xdr:colOff>
      <xdr:row>15</xdr:row>
      <xdr:rowOff>44451</xdr:rowOff>
    </xdr:from>
    <xdr:to>
      <xdr:col>11</xdr:col>
      <xdr:colOff>552790</xdr:colOff>
      <xdr:row>32</xdr:row>
      <xdr:rowOff>65088</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552790" y="2864282"/>
          <a:ext cx="6974237" cy="3131060"/>
          <a:chOff x="517072" y="2792414"/>
          <a:chExt cx="6905625" cy="3050381"/>
        </a:xfrm>
      </xdr:grpSpPr>
      <xdr:grpSp>
        <xdr:nvGrpSpPr>
          <xdr:cNvPr id="1024" name="Group 1023">
            <a:extLst>
              <a:ext uri="{FF2B5EF4-FFF2-40B4-BE49-F238E27FC236}">
                <a16:creationId xmlns:a16="http://schemas.microsoft.com/office/drawing/2014/main" id="{00000000-0008-0000-0000-000000040000}"/>
              </a:ext>
            </a:extLst>
          </xdr:cNvPr>
          <xdr:cNvGrpSpPr/>
        </xdr:nvGrpSpPr>
        <xdr:grpSpPr>
          <a:xfrm>
            <a:off x="517072" y="2789239"/>
            <a:ext cx="6905625" cy="3056731"/>
            <a:chOff x="399143" y="2814096"/>
            <a:chExt cx="6912429" cy="3095413"/>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399143" y="2814096"/>
              <a:ext cx="6912429" cy="3032047"/>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25" name="Group 124">
              <a:extLst>
                <a:ext uri="{FF2B5EF4-FFF2-40B4-BE49-F238E27FC236}">
                  <a16:creationId xmlns:a16="http://schemas.microsoft.com/office/drawing/2014/main" id="{00000000-0008-0000-0000-00007D000000}"/>
                </a:ext>
              </a:extLst>
            </xdr:cNvPr>
            <xdr:cNvGrpSpPr/>
          </xdr:nvGrpSpPr>
          <xdr:grpSpPr>
            <a:xfrm>
              <a:off x="469897" y="2857688"/>
              <a:ext cx="6610126" cy="3051821"/>
              <a:chOff x="469897" y="2857688"/>
              <a:chExt cx="6610126" cy="3051821"/>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480784" y="2857688"/>
                <a:ext cx="6599239" cy="30117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This sheet is purely academic to aid the reader in understanding the mechanics of a neural network. Here we take 8 samples, with only two features (x1 and x2) and binary labels. The network is very simple, with a single hidden layer of one neuron and single output layer of one neuron. Pressing the 'perform single iteration' button will take the gradient of each weight and bias and update based upon the user defined learning rate. Cost is recalculated using all the samples. Note that this is because we only have 8 samples, if we had more, we may </a:t>
                </a: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469897" y="3695700"/>
                <a:ext cx="2331570" cy="2213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wish to go with stochastic gradient descent (SGD) or mini-batch SGD at this point. Therefore in this case</a:t>
                </a:r>
                <a:r>
                  <a:rPr lang="en-GB" sz="1100" b="0" baseline="0">
                    <a:solidFill>
                      <a:schemeClr val="tx1">
                        <a:lumMod val="85000"/>
                        <a:lumOff val="15000"/>
                      </a:schemeClr>
                    </a:solidFill>
                  </a:rPr>
                  <a:t> an iteration is equivalent to an epoch.</a:t>
                </a:r>
                <a:r>
                  <a:rPr lang="en-GB" sz="1100" b="0">
                    <a:solidFill>
                      <a:schemeClr val="tx1">
                        <a:lumMod val="85000"/>
                        <a:lumOff val="15000"/>
                      </a:schemeClr>
                    </a:solidFill>
                  </a:rPr>
                  <a:t> With this updated cost,</a:t>
                </a:r>
                <a:r>
                  <a:rPr lang="en-GB" sz="1100" b="0" baseline="0">
                    <a:solidFill>
                      <a:schemeClr val="tx1">
                        <a:lumMod val="85000"/>
                        <a:lumOff val="15000"/>
                      </a:schemeClr>
                    </a:solidFill>
                  </a:rPr>
                  <a:t> and using backprogagation, </a:t>
                </a:r>
                <a:r>
                  <a:rPr lang="en-GB" sz="1100" b="0">
                    <a:solidFill>
                      <a:schemeClr val="tx1">
                        <a:lumMod val="85000"/>
                        <a:lumOff val="15000"/>
                      </a:schemeClr>
                    </a:solidFill>
                  </a:rPr>
                  <a:t>we can then recalculate the gradient of each weight and bias ready for the next iteration. We can view how our weights and biases are changing with each iteration with the  x-plots shown below. </a:t>
                </a:r>
              </a:p>
            </xdr:txBody>
          </xdr:sp>
        </xdr:grpSp>
      </xdr:grpSp>
      <xdr:grpSp>
        <xdr:nvGrpSpPr>
          <xdr:cNvPr id="9" name="Group 8">
            <a:extLst>
              <a:ext uri="{FF2B5EF4-FFF2-40B4-BE49-F238E27FC236}">
                <a16:creationId xmlns:a16="http://schemas.microsoft.com/office/drawing/2014/main" id="{00000000-0008-0000-0000-000009000000}"/>
              </a:ext>
            </a:extLst>
          </xdr:cNvPr>
          <xdr:cNvGrpSpPr/>
        </xdr:nvGrpSpPr>
        <xdr:grpSpPr>
          <a:xfrm>
            <a:off x="2993403" y="3825357"/>
            <a:ext cx="4323677" cy="1664111"/>
            <a:chOff x="2867990" y="3825357"/>
            <a:chExt cx="4339555" cy="1657770"/>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2867990" y="3825357"/>
              <a:ext cx="4274684" cy="1570489"/>
              <a:chOff x="1759122" y="3980138"/>
              <a:chExt cx="4276045" cy="1596003"/>
            </a:xfrm>
          </xdr:grpSpPr>
          <xdr:sp macro="" textlink="">
            <xdr:nvSpPr>
              <xdr:cNvPr id="2" name="Oval 1">
                <a:extLst>
                  <a:ext uri="{FF2B5EF4-FFF2-40B4-BE49-F238E27FC236}">
                    <a16:creationId xmlns:a16="http://schemas.microsoft.com/office/drawing/2014/main" id="{00000000-0008-0000-0000-000002000000}"/>
                  </a:ext>
                </a:extLst>
              </xdr:cNvPr>
              <xdr:cNvSpPr/>
            </xdr:nvSpPr>
            <xdr:spPr>
              <a:xfrm>
                <a:off x="1794063" y="4450514"/>
                <a:ext cx="479312" cy="42075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3" name="Oval 2">
                <a:extLst>
                  <a:ext uri="{FF2B5EF4-FFF2-40B4-BE49-F238E27FC236}">
                    <a16:creationId xmlns:a16="http://schemas.microsoft.com/office/drawing/2014/main" id="{00000000-0008-0000-0000-000003000000}"/>
                  </a:ext>
                </a:extLst>
              </xdr:cNvPr>
              <xdr:cNvSpPr/>
            </xdr:nvSpPr>
            <xdr:spPr>
              <a:xfrm>
                <a:off x="1789273" y="5155936"/>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4" name="Oval 3">
                <a:extLst>
                  <a:ext uri="{FF2B5EF4-FFF2-40B4-BE49-F238E27FC236}">
                    <a16:creationId xmlns:a16="http://schemas.microsoft.com/office/drawing/2014/main" id="{00000000-0008-0000-0000-000004000000}"/>
                  </a:ext>
                </a:extLst>
              </xdr:cNvPr>
              <xdr:cNvSpPr/>
            </xdr:nvSpPr>
            <xdr:spPr>
              <a:xfrm>
                <a:off x="3672423"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5" name="Oval 4">
                <a:extLst>
                  <a:ext uri="{FF2B5EF4-FFF2-40B4-BE49-F238E27FC236}">
                    <a16:creationId xmlns:a16="http://schemas.microsoft.com/office/drawing/2014/main" id="{00000000-0008-0000-0000-000005000000}"/>
                  </a:ext>
                </a:extLst>
              </xdr:cNvPr>
              <xdr:cNvSpPr/>
            </xdr:nvSpPr>
            <xdr:spPr>
              <a:xfrm>
                <a:off x="5451878"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2337620" y="4672257"/>
                <a:ext cx="1206592" cy="27246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2381860" y="5022615"/>
                <a:ext cx="1162916" cy="324021"/>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4255431" y="4963019"/>
                <a:ext cx="1062318"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000-00000C000000}"/>
                  </a:ext>
                </a:extLst>
              </xdr:cNvPr>
              <xdr:cNvSpPr txBox="1"/>
            </xdr:nvSpPr>
            <xdr:spPr>
              <a:xfrm rot="801931">
                <a:off x="2670685" y="4549743"/>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w1</a:t>
                </a: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rot="20682794">
                <a:off x="2699451" y="5169796"/>
                <a:ext cx="625702"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w2</a:t>
                </a: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548203" y="4993508"/>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w3</a:t>
                </a:r>
              </a:p>
            </xdr:txBody>
          </xdr:sp>
          <xdr:sp macro="" textlink="">
            <xdr:nvSpPr>
              <xdr:cNvPr id="71" name="Rectangle 70">
                <a:extLst>
                  <a:ext uri="{FF2B5EF4-FFF2-40B4-BE49-F238E27FC236}">
                    <a16:creationId xmlns:a16="http://schemas.microsoft.com/office/drawing/2014/main" id="{00000000-0008-0000-0000-000047000000}"/>
                  </a:ext>
                </a:extLst>
              </xdr:cNvPr>
              <xdr:cNvSpPr/>
            </xdr:nvSpPr>
            <xdr:spPr>
              <a:xfrm>
                <a:off x="1759122" y="4027260"/>
                <a:ext cx="524115" cy="3076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74" name="Rectangle 73">
                <a:extLst>
                  <a:ext uri="{FF2B5EF4-FFF2-40B4-BE49-F238E27FC236}">
                    <a16:creationId xmlns:a16="http://schemas.microsoft.com/office/drawing/2014/main" id="{00000000-0008-0000-0000-00004A000000}"/>
                  </a:ext>
                </a:extLst>
              </xdr:cNvPr>
              <xdr:cNvSpPr/>
            </xdr:nvSpPr>
            <xdr:spPr>
              <a:xfrm>
                <a:off x="3552665" y="3982911"/>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76" name="Rectangle 75">
                <a:extLst>
                  <a:ext uri="{FF2B5EF4-FFF2-40B4-BE49-F238E27FC236}">
                    <a16:creationId xmlns:a16="http://schemas.microsoft.com/office/drawing/2014/main" id="{00000000-0008-0000-0000-00004C000000}"/>
                  </a:ext>
                </a:extLst>
              </xdr:cNvPr>
              <xdr:cNvSpPr/>
            </xdr:nvSpPr>
            <xdr:spPr>
              <a:xfrm>
                <a:off x="5353254" y="3980138"/>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4847494" y="5217883"/>
              <a:ext cx="558130" cy="258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b1</a:t>
              </a:r>
            </a:p>
          </xdr:txBody>
        </xdr:sp>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6639097" y="5215455"/>
              <a:ext cx="568448" cy="267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b2</a:t>
              </a:r>
            </a:p>
          </xdr:txBody>
        </xdr:sp>
        <xdr:cxnSp macro="">
          <xdr:nvCxnSpPr>
            <xdr:cNvPr id="123" name="Straight Connector 122">
              <a:extLst>
                <a:ext uri="{FF2B5EF4-FFF2-40B4-BE49-F238E27FC236}">
                  <a16:creationId xmlns:a16="http://schemas.microsoft.com/office/drawing/2014/main" id="{00000000-0008-0000-0000-00007B000000}"/>
                </a:ext>
              </a:extLst>
            </xdr:cNvPr>
            <xdr:cNvCxnSpPr/>
          </xdr:nvCxnSpPr>
          <xdr:spPr>
            <a:xfrm flipH="1" flipV="1">
              <a:off x="5007917" y="5074708"/>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000-00007C000000}"/>
                </a:ext>
              </a:extLst>
            </xdr:cNvPr>
            <xdr:cNvCxnSpPr/>
          </xdr:nvCxnSpPr>
          <xdr:spPr>
            <a:xfrm flipH="1" flipV="1">
              <a:off x="6787876" y="5079206"/>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495789</xdr:colOff>
      <xdr:row>69</xdr:row>
      <xdr:rowOff>148027</xdr:rowOff>
    </xdr:from>
    <xdr:to>
      <xdr:col>10</xdr:col>
      <xdr:colOff>148960</xdr:colOff>
      <xdr:row>104</xdr:row>
      <xdr:rowOff>108216</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495789" y="12848027"/>
          <a:ext cx="5787917" cy="6385528"/>
          <a:chOff x="6612427" y="12491634"/>
          <a:chExt cx="5731709" cy="6234782"/>
        </a:xfrm>
      </xdr:grpSpPr>
      <xdr:grpSp>
        <xdr:nvGrpSpPr>
          <xdr:cNvPr id="116" name="Group 115">
            <a:extLst>
              <a:ext uri="{FF2B5EF4-FFF2-40B4-BE49-F238E27FC236}">
                <a16:creationId xmlns:a16="http://schemas.microsoft.com/office/drawing/2014/main" id="{00000000-0008-0000-0000-000074000000}"/>
              </a:ext>
            </a:extLst>
          </xdr:cNvPr>
          <xdr:cNvGrpSpPr/>
        </xdr:nvGrpSpPr>
        <xdr:grpSpPr>
          <a:xfrm>
            <a:off x="6615602" y="12494809"/>
            <a:ext cx="5725359" cy="6234782"/>
            <a:chOff x="330200" y="8216656"/>
            <a:chExt cx="5749005" cy="6381288"/>
          </a:xfrm>
        </xdr:grpSpPr>
        <xdr:grpSp>
          <xdr:nvGrpSpPr>
            <xdr:cNvPr id="105" name="Group 104">
              <a:extLst>
                <a:ext uri="{FF2B5EF4-FFF2-40B4-BE49-F238E27FC236}">
                  <a16:creationId xmlns:a16="http://schemas.microsoft.com/office/drawing/2014/main" id="{00000000-0008-0000-0000-000069000000}"/>
                </a:ext>
              </a:extLst>
            </xdr:cNvPr>
            <xdr:cNvGrpSpPr/>
          </xdr:nvGrpSpPr>
          <xdr:grpSpPr>
            <a:xfrm>
              <a:off x="330200" y="8216656"/>
              <a:ext cx="5749005" cy="6381288"/>
              <a:chOff x="330200" y="8496300"/>
              <a:chExt cx="5739912" cy="6640690"/>
            </a:xfrm>
          </xdr:grpSpPr>
          <xdr:sp macro="" textlink="">
            <xdr:nvSpPr>
              <xdr:cNvPr id="115" name="Rectangle 114">
                <a:extLst>
                  <a:ext uri="{FF2B5EF4-FFF2-40B4-BE49-F238E27FC236}">
                    <a16:creationId xmlns:a16="http://schemas.microsoft.com/office/drawing/2014/main" id="{00000000-0008-0000-0000-000073000000}"/>
                  </a:ext>
                </a:extLst>
              </xdr:cNvPr>
              <xdr:cNvSpPr/>
            </xdr:nvSpPr>
            <xdr:spPr>
              <a:xfrm>
                <a:off x="330200" y="8496300"/>
                <a:ext cx="5739912" cy="664069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977900" y="11882523"/>
                <a:ext cx="1587500" cy="499142"/>
              </a:xfrm>
              <a:prstGeom prst="rect">
                <a:avLst/>
              </a:prstGeom>
            </xdr:spPr>
          </xdr:pic>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1"/>
              <a:stretch>
                <a:fillRect/>
              </a:stretch>
            </xdr:blipFill>
            <xdr:spPr>
              <a:xfrm>
                <a:off x="785284" y="14318665"/>
                <a:ext cx="1701799" cy="542925"/>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2"/>
              <a:stretch>
                <a:fillRect/>
              </a:stretch>
            </xdr:blipFill>
            <xdr:spPr>
              <a:xfrm>
                <a:off x="2862793" y="11721655"/>
                <a:ext cx="2301875" cy="793649"/>
              </a:xfrm>
              <a:prstGeom prst="rect">
                <a:avLst/>
              </a:prstGeom>
            </xdr:spPr>
          </xdr:pic>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3"/>
              <a:stretch>
                <a:fillRect/>
              </a:stretch>
            </xdr:blipFill>
            <xdr:spPr>
              <a:xfrm>
                <a:off x="2851149" y="14185314"/>
                <a:ext cx="2364144" cy="786341"/>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8654" y="12755859"/>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First Neuron</a:t>
                </a:r>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1416754" y="10393800"/>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Second</a:t>
                </a:r>
                <a:r>
                  <a:rPr lang="en-GB" sz="1800" b="1" u="sng" baseline="0">
                    <a:solidFill>
                      <a:schemeClr val="tx1">
                        <a:lumMod val="85000"/>
                        <a:lumOff val="15000"/>
                      </a:schemeClr>
                    </a:solidFill>
                  </a:rPr>
                  <a:t> Neuron</a:t>
                </a:r>
                <a:endParaRPr lang="en-GB" sz="1800" b="1" u="sng">
                  <a:solidFill>
                    <a:schemeClr val="tx1">
                      <a:lumMod val="85000"/>
                      <a:lumOff val="15000"/>
                    </a:schemeClr>
                  </a:solidFill>
                </a:endParaRPr>
              </a:p>
            </xdr:txBody>
          </xdr:sp>
        </xdr:grp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1367928" y="8308229"/>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Evaluating</a:t>
              </a:r>
              <a:r>
                <a:rPr lang="en-GB" sz="1800" b="1" u="sng" baseline="0">
                  <a:solidFill>
                    <a:schemeClr val="tx1">
                      <a:lumMod val="85000"/>
                      <a:lumOff val="15000"/>
                    </a:schemeClr>
                  </a:solidFill>
                </a:rPr>
                <a:t> our Model - Loss &amp; Cost</a:t>
              </a:r>
              <a:endParaRPr lang="en-GB" sz="1800" b="1" u="sng">
                <a:solidFill>
                  <a:schemeClr val="tx1">
                    <a:lumMod val="85000"/>
                    <a:lumOff val="15000"/>
                  </a:schemeClr>
                </a:solidFill>
              </a:endParaRPr>
            </a:p>
          </xdr:txBody>
        </xdr:sp>
      </xdr:grpSp>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a:stretch>
            <a:fillRect/>
          </a:stretch>
        </xdr:blipFill>
        <xdr:spPr>
          <a:xfrm>
            <a:off x="6988968" y="17222123"/>
            <a:ext cx="4878388" cy="473254"/>
          </a:xfrm>
          <a:prstGeom prst="rect">
            <a:avLst/>
          </a:prstGeom>
        </xdr:spPr>
      </xdr:pic>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5"/>
          <a:stretch>
            <a:fillRect/>
          </a:stretch>
        </xdr:blipFill>
        <xdr:spPr>
          <a:xfrm>
            <a:off x="7897018" y="14933613"/>
            <a:ext cx="2994026" cy="433183"/>
          </a:xfrm>
          <a:prstGeom prst="rect">
            <a:avLst/>
          </a:prstGeom>
        </xdr:spPr>
      </xdr:pic>
    </xdr:grpSp>
    <xdr:clientData/>
  </xdr:twoCellAnchor>
  <xdr:twoCellAnchor>
    <xdr:from>
      <xdr:col>22</xdr:col>
      <xdr:colOff>352425</xdr:colOff>
      <xdr:row>15</xdr:row>
      <xdr:rowOff>122238</xdr:rowOff>
    </xdr:from>
    <xdr:to>
      <xdr:col>33</xdr:col>
      <xdr:colOff>0</xdr:colOff>
      <xdr:row>44</xdr:row>
      <xdr:rowOff>39687</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14473103" y="2942069"/>
          <a:ext cx="6514185" cy="5223465"/>
          <a:chOff x="14433550" y="2916238"/>
          <a:chExt cx="6489700" cy="5211762"/>
        </a:xfrm>
      </xdr:grpSpPr>
      <xdr:grpSp>
        <xdr:nvGrpSpPr>
          <xdr:cNvPr id="1030" name="Group 1029">
            <a:extLst>
              <a:ext uri="{FF2B5EF4-FFF2-40B4-BE49-F238E27FC236}">
                <a16:creationId xmlns:a16="http://schemas.microsoft.com/office/drawing/2014/main" id="{00000000-0008-0000-0000-000006040000}"/>
              </a:ext>
            </a:extLst>
          </xdr:cNvPr>
          <xdr:cNvGrpSpPr/>
        </xdr:nvGrpSpPr>
        <xdr:grpSpPr>
          <a:xfrm>
            <a:off x="14433550" y="2916238"/>
            <a:ext cx="6489700" cy="5211762"/>
            <a:chOff x="14478000" y="2891896"/>
            <a:chExt cx="6519333" cy="5138208"/>
          </a:xfrm>
        </xdr:grpSpPr>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4478000" y="2891896"/>
              <a:ext cx="6519333" cy="5138208"/>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6"/>
            <a:stretch>
              <a:fillRect/>
            </a:stretch>
          </xdr:blipFill>
          <xdr:spPr>
            <a:xfrm>
              <a:off x="14782800" y="6143089"/>
              <a:ext cx="2772832" cy="662986"/>
            </a:xfrm>
            <a:prstGeom prst="rect">
              <a:avLst/>
            </a:prstGeom>
          </xdr:spPr>
        </xdr:pic>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7"/>
            <a:stretch>
              <a:fillRect/>
            </a:stretch>
          </xdr:blipFill>
          <xdr:spPr>
            <a:xfrm>
              <a:off x="14797617" y="6965416"/>
              <a:ext cx="2056342" cy="739257"/>
            </a:xfrm>
            <a:prstGeom prst="rect">
              <a:avLst/>
            </a:prstGeom>
          </xdr:spPr>
        </xdr:pic>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6"/>
            <a:stretch>
              <a:fillRect/>
            </a:stretch>
          </xdr:blipFill>
          <xdr:spPr>
            <a:xfrm>
              <a:off x="17936634" y="6118747"/>
              <a:ext cx="2769656" cy="666161"/>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7"/>
            <a:stretch>
              <a:fillRect/>
            </a:stretch>
          </xdr:blipFill>
          <xdr:spPr>
            <a:xfrm>
              <a:off x="17951451" y="6947424"/>
              <a:ext cx="2056342" cy="736082"/>
            </a:xfrm>
            <a:prstGeom prst="rect">
              <a:avLst/>
            </a:prstGeom>
          </xdr:spPr>
        </xdr:pic>
        <xdr:sp macro="" textlink="">
          <xdr:nvSpPr>
            <xdr:cNvPr id="56" name="Rectangle 55">
              <a:extLst>
                <a:ext uri="{FF2B5EF4-FFF2-40B4-BE49-F238E27FC236}">
                  <a16:creationId xmlns:a16="http://schemas.microsoft.com/office/drawing/2014/main" id="{00000000-0008-0000-0000-000038000000}"/>
                </a:ext>
              </a:extLst>
            </xdr:cNvPr>
            <xdr:cNvSpPr/>
          </xdr:nvSpPr>
          <xdr:spPr>
            <a:xfrm>
              <a:off x="14681200" y="6047839"/>
              <a:ext cx="6194425" cy="1664758"/>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4482808" y="2947458"/>
              <a:ext cx="6490498"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Hidden Layer to Output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w3 and b2</a:t>
              </a:r>
              <a:r>
                <a:rPr lang="en-GB" sz="1400" b="0" i="1" u="none">
                  <a:solidFill>
                    <a:schemeClr val="tx1">
                      <a:lumMod val="85000"/>
                      <a:lumOff val="15000"/>
                    </a:schemeClr>
                  </a:solidFill>
                </a:rPr>
                <a:t> </a:t>
              </a:r>
              <a:endParaRPr lang="en-GB" sz="1100" b="0" i="1" u="none">
                <a:solidFill>
                  <a:schemeClr val="tx1">
                    <a:lumMod val="85000"/>
                    <a:lumOff val="15000"/>
                  </a:schemeClr>
                </a:solidFill>
              </a:endParaRPr>
            </a:p>
          </xdr:txBody>
        </xdr:sp>
        <xdr:pic>
          <xdr:nvPicPr>
            <xdr:cNvPr id="162" name="Picture 161">
              <a:extLst>
                <a:ext uri="{FF2B5EF4-FFF2-40B4-BE49-F238E27FC236}">
                  <a16:creationId xmlns:a16="http://schemas.microsoft.com/office/drawing/2014/main" id="{00000000-0008-0000-0000-0000A2000000}"/>
                </a:ext>
              </a:extLst>
            </xdr:cNvPr>
            <xdr:cNvPicPr>
              <a:picLocks noChangeAspect="1"/>
            </xdr:cNvPicPr>
          </xdr:nvPicPr>
          <xdr:blipFill>
            <a:blip xmlns:r="http://schemas.openxmlformats.org/officeDocument/2006/relationships" r:embed="rId18"/>
            <a:stretch>
              <a:fillRect/>
            </a:stretch>
          </xdr:blipFill>
          <xdr:spPr>
            <a:xfrm>
              <a:off x="14811377" y="4264018"/>
              <a:ext cx="2586566" cy="727610"/>
            </a:xfrm>
            <a:prstGeom prst="rect">
              <a:avLst/>
            </a:prstGeom>
          </xdr:spPr>
        </xdr:pic>
        <xdr:pic>
          <xdr:nvPicPr>
            <xdr:cNvPr id="163" name="Picture 162">
              <a:extLst>
                <a:ext uri="{FF2B5EF4-FFF2-40B4-BE49-F238E27FC236}">
                  <a16:creationId xmlns:a16="http://schemas.microsoft.com/office/drawing/2014/main" id="{00000000-0008-0000-0000-0000A3000000}"/>
                </a:ext>
              </a:extLst>
            </xdr:cNvPr>
            <xdr:cNvPicPr>
              <a:picLocks noChangeAspect="1"/>
            </xdr:cNvPicPr>
          </xdr:nvPicPr>
          <xdr:blipFill>
            <a:blip xmlns:r="http://schemas.openxmlformats.org/officeDocument/2006/relationships" r:embed="rId1"/>
            <a:stretch>
              <a:fillRect/>
            </a:stretch>
          </xdr:blipFill>
          <xdr:spPr>
            <a:xfrm>
              <a:off x="14775391" y="5205936"/>
              <a:ext cx="1231922" cy="677334"/>
            </a:xfrm>
            <a:prstGeom prst="rect">
              <a:avLst/>
            </a:prstGeom>
          </xdr:spPr>
        </xdr:pic>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5273339" y="3644900"/>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3</a:t>
              </a:r>
              <a:endParaRPr lang="en-GB" sz="1100" b="0" i="1" u="none">
                <a:solidFill>
                  <a:schemeClr val="tx1">
                    <a:lumMod val="85000"/>
                    <a:lumOff val="15000"/>
                  </a:schemeClr>
                </a:solidFill>
              </a:endParaRP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8439343" y="3630613"/>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100" b="0" i="1" u="none">
                <a:solidFill>
                  <a:schemeClr val="tx1">
                    <a:lumMod val="85000"/>
                    <a:lumOff val="15000"/>
                  </a:schemeClr>
                </a:solidFill>
              </a:endParaRPr>
            </a:p>
          </xdr:txBody>
        </xdr:sp>
      </xdr:grpSp>
      <xdr:pic>
        <xdr:nvPicPr>
          <xdr:cNvPr id="128" name="Picture 127">
            <a:extLst>
              <a:ext uri="{FF2B5EF4-FFF2-40B4-BE49-F238E27FC236}">
                <a16:creationId xmlns:a16="http://schemas.microsoft.com/office/drawing/2014/main" id="{00000000-0008-0000-0000-000080000000}"/>
              </a:ext>
            </a:extLst>
          </xdr:cNvPr>
          <xdr:cNvPicPr>
            <a:picLocks noChangeAspect="1"/>
          </xdr:cNvPicPr>
        </xdr:nvPicPr>
        <xdr:blipFill>
          <a:blip xmlns:r="http://schemas.openxmlformats.org/officeDocument/2006/relationships" r:embed="rId19"/>
          <a:stretch>
            <a:fillRect/>
          </a:stretch>
        </xdr:blipFill>
        <xdr:spPr>
          <a:xfrm>
            <a:off x="17862550" y="4368800"/>
            <a:ext cx="2468562" cy="681902"/>
          </a:xfrm>
          <a:prstGeom prst="rect">
            <a:avLst/>
          </a:prstGeom>
        </xdr:spPr>
      </xdr:pic>
      <xdr:pic>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17867313" y="5225183"/>
            <a:ext cx="1008063" cy="684867"/>
          </a:xfrm>
          <a:prstGeom prst="rect">
            <a:avLst/>
          </a:prstGeom>
        </xdr:spPr>
      </xdr:pic>
    </xdr:grpSp>
    <xdr:clientData/>
  </xdr:twoCellAnchor>
  <xdr:twoCellAnchor>
    <xdr:from>
      <xdr:col>33</xdr:col>
      <xdr:colOff>588963</xdr:colOff>
      <xdr:row>15</xdr:row>
      <xdr:rowOff>101600</xdr:rowOff>
    </xdr:from>
    <xdr:to>
      <xdr:col>54</xdr:col>
      <xdr:colOff>550334</xdr:colOff>
      <xdr:row>54</xdr:row>
      <xdr:rowOff>140759</xdr:rowOff>
    </xdr:to>
    <xdr:grpSp>
      <xdr:nvGrpSpPr>
        <xdr:cNvPr id="54" name="Group 53">
          <a:extLst>
            <a:ext uri="{FF2B5EF4-FFF2-40B4-BE49-F238E27FC236}">
              <a16:creationId xmlns:a16="http://schemas.microsoft.com/office/drawing/2014/main" id="{00000000-0008-0000-0000-000036000000}"/>
            </a:ext>
          </a:extLst>
        </xdr:cNvPr>
        <xdr:cNvGrpSpPr/>
      </xdr:nvGrpSpPr>
      <xdr:grpSpPr>
        <a:xfrm>
          <a:off x="21576251" y="2921431"/>
          <a:ext cx="12844337" cy="7174836"/>
          <a:chOff x="21512213" y="2895600"/>
          <a:chExt cx="12796309" cy="7159097"/>
        </a:xfrm>
      </xdr:grpSpPr>
      <xdr:grpSp>
        <xdr:nvGrpSpPr>
          <xdr:cNvPr id="1031" name="Group 1030">
            <a:extLst>
              <a:ext uri="{FF2B5EF4-FFF2-40B4-BE49-F238E27FC236}">
                <a16:creationId xmlns:a16="http://schemas.microsoft.com/office/drawing/2014/main" id="{00000000-0008-0000-0000-000007040000}"/>
              </a:ext>
            </a:extLst>
          </xdr:cNvPr>
          <xdr:cNvGrpSpPr/>
        </xdr:nvGrpSpPr>
        <xdr:grpSpPr>
          <a:xfrm>
            <a:off x="21512213" y="2895600"/>
            <a:ext cx="12796309" cy="7159097"/>
            <a:chOff x="21586296" y="2877608"/>
            <a:chExt cx="12851871" cy="7049559"/>
          </a:xfrm>
        </xdr:grpSpPr>
        <xdr:sp macro="" textlink="">
          <xdr:nvSpPr>
            <xdr:cNvPr id="166" name="Rectangle 165">
              <a:extLst>
                <a:ext uri="{FF2B5EF4-FFF2-40B4-BE49-F238E27FC236}">
                  <a16:creationId xmlns:a16="http://schemas.microsoft.com/office/drawing/2014/main" id="{00000000-0008-0000-0000-0000A6000000}"/>
                </a:ext>
              </a:extLst>
            </xdr:cNvPr>
            <xdr:cNvSpPr/>
          </xdr:nvSpPr>
          <xdr:spPr>
            <a:xfrm>
              <a:off x="21586296" y="2877608"/>
              <a:ext cx="12851871" cy="7049559"/>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21"/>
            <a:stretch>
              <a:fillRect/>
            </a:stretch>
          </xdr:blipFill>
          <xdr:spPr>
            <a:xfrm>
              <a:off x="21664083" y="4308369"/>
              <a:ext cx="3766609" cy="757790"/>
            </a:xfrm>
            <a:prstGeom prst="rect">
              <a:avLst/>
            </a:prstGeom>
          </xdr:spPr>
        </xdr:pic>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22"/>
            <a:stretch>
              <a:fillRect/>
            </a:stretch>
          </xdr:blipFill>
          <xdr:spPr>
            <a:xfrm>
              <a:off x="30201658" y="4313990"/>
              <a:ext cx="3792009" cy="731695"/>
            </a:xfrm>
            <a:prstGeom prst="rect">
              <a:avLst/>
            </a:prstGeom>
          </xdr:spPr>
        </xdr:pic>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7"/>
            <a:stretch>
              <a:fillRect/>
            </a:stretch>
          </xdr:blipFill>
          <xdr:spPr>
            <a:xfrm>
              <a:off x="21976292" y="8703733"/>
              <a:ext cx="2069042" cy="742433"/>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6"/>
            <a:stretch>
              <a:fillRect/>
            </a:stretch>
          </xdr:blipFill>
          <xdr:spPr>
            <a:xfrm>
              <a:off x="21981583" y="7891993"/>
              <a:ext cx="2779181" cy="672511"/>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3"/>
            <a:stretch>
              <a:fillRect/>
            </a:stretch>
          </xdr:blipFill>
          <xdr:spPr>
            <a:xfrm>
              <a:off x="21960418" y="6980767"/>
              <a:ext cx="1366307" cy="767389"/>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4"/>
            <a:stretch>
              <a:fillRect/>
            </a:stretch>
          </xdr:blipFill>
          <xdr:spPr>
            <a:xfrm>
              <a:off x="21907501" y="6026151"/>
              <a:ext cx="3058583" cy="739413"/>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7"/>
            <a:stretch>
              <a:fillRect/>
            </a:stretch>
          </xdr:blipFill>
          <xdr:spPr>
            <a:xfrm>
              <a:off x="26145707" y="8722056"/>
              <a:ext cx="2069042" cy="732908"/>
            </a:xfrm>
            <a:prstGeom prst="rect">
              <a:avLst/>
            </a:prstGeom>
          </xdr:spPr>
        </xdr:pic>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6"/>
            <a:stretch>
              <a:fillRect/>
            </a:stretch>
          </xdr:blipFill>
          <xdr:spPr>
            <a:xfrm>
              <a:off x="26150997" y="7900791"/>
              <a:ext cx="2772833" cy="675686"/>
            </a:xfrm>
            <a:prstGeom prst="rect">
              <a:avLst/>
            </a:prstGeom>
          </xdr:spPr>
        </xdr:pic>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3"/>
            <a:stretch>
              <a:fillRect/>
            </a:stretch>
          </xdr:blipFill>
          <xdr:spPr>
            <a:xfrm>
              <a:off x="26123482" y="6999090"/>
              <a:ext cx="1372659" cy="767389"/>
            </a:xfrm>
            <a:prstGeom prst="rect">
              <a:avLst/>
            </a:prstGeom>
          </xdr:spPr>
        </xdr:pic>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4"/>
            <a:stretch>
              <a:fillRect/>
            </a:stretch>
          </xdr:blipFill>
          <xdr:spPr>
            <a:xfrm>
              <a:off x="26076915" y="6044474"/>
              <a:ext cx="3061760" cy="739413"/>
            </a:xfrm>
            <a:prstGeom prst="rect">
              <a:avLst/>
            </a:prstGeom>
          </xdr:spPr>
        </xdr:pic>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7"/>
            <a:stretch>
              <a:fillRect/>
            </a:stretch>
          </xdr:blipFill>
          <xdr:spPr>
            <a:xfrm>
              <a:off x="30362524" y="8688916"/>
              <a:ext cx="2065867" cy="736083"/>
            </a:xfrm>
            <a:prstGeom prst="rect">
              <a:avLst/>
            </a:prstGeom>
          </xdr:spPr>
        </xdr:pic>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6"/>
            <a:stretch>
              <a:fillRect/>
            </a:stretch>
          </xdr:blipFill>
          <xdr:spPr>
            <a:xfrm>
              <a:off x="30377340" y="7874001"/>
              <a:ext cx="2782358" cy="669336"/>
            </a:xfrm>
            <a:prstGeom prst="rect">
              <a:avLst/>
            </a:prstGeom>
          </xdr:spPr>
        </xdr:pic>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3"/>
            <a:stretch>
              <a:fillRect/>
            </a:stretch>
          </xdr:blipFill>
          <xdr:spPr>
            <a:xfrm>
              <a:off x="30349825" y="6962775"/>
              <a:ext cx="1369483" cy="767389"/>
            </a:xfrm>
            <a:prstGeom prst="rect">
              <a:avLst/>
            </a:prstGeom>
          </xdr:spPr>
        </xdr:pic>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4"/>
            <a:stretch>
              <a:fillRect/>
            </a:stretch>
          </xdr:blipFill>
          <xdr:spPr>
            <a:xfrm>
              <a:off x="30303258" y="6008159"/>
              <a:ext cx="3058584" cy="736238"/>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25"/>
            <a:stretch>
              <a:fillRect/>
            </a:stretch>
          </xdr:blipFill>
          <xdr:spPr>
            <a:xfrm>
              <a:off x="21960418" y="5228168"/>
              <a:ext cx="1308982" cy="674158"/>
            </a:xfrm>
            <a:prstGeom prst="rect">
              <a:avLst/>
            </a:prstGeom>
          </xdr:spPr>
        </xdr:pic>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26"/>
            <a:stretch>
              <a:fillRect/>
            </a:stretch>
          </xdr:blipFill>
          <xdr:spPr>
            <a:xfrm>
              <a:off x="30342416" y="5143501"/>
              <a:ext cx="1454150" cy="753609"/>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21801667" y="6000749"/>
              <a:ext cx="12403666" cy="3651250"/>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0" name="Rectangle 169">
              <a:extLst>
                <a:ext uri="{FF2B5EF4-FFF2-40B4-BE49-F238E27FC236}">
                  <a16:creationId xmlns:a16="http://schemas.microsoft.com/office/drawing/2014/main" id="{00000000-0008-0000-0000-0000AA000000}"/>
                </a:ext>
              </a:extLst>
            </xdr:cNvPr>
            <xdr:cNvSpPr/>
          </xdr:nvSpPr>
          <xdr:spPr>
            <a:xfrm>
              <a:off x="21949834" y="2947459"/>
              <a:ext cx="12012084" cy="8754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Input Layer</a:t>
              </a:r>
              <a:r>
                <a:rPr lang="en-GB" sz="1800" b="1" u="sng" baseline="0">
                  <a:solidFill>
                    <a:schemeClr val="tx1">
                      <a:lumMod val="85000"/>
                      <a:lumOff val="15000"/>
                    </a:schemeClr>
                  </a:solidFill>
                </a:rPr>
                <a:t> </a:t>
              </a:r>
              <a:r>
                <a:rPr lang="en-GB" sz="1800" b="1" u="sng">
                  <a:solidFill>
                    <a:schemeClr val="tx1">
                      <a:lumMod val="85000"/>
                      <a:lumOff val="15000"/>
                    </a:schemeClr>
                  </a:solidFill>
                </a:rPr>
                <a:t>to Hidden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w2, w1 and b1 Also note the increasing number of partial differentials reliant on the previous layer - more susceptible to vanishing / exploding gradient.  </a:t>
              </a:r>
            </a:p>
          </xdr:txBody>
        </xdr:sp>
        <xdr:sp macro="" textlink="">
          <xdr:nvSpPr>
            <xdr:cNvPr id="171" name="Rectangle 170">
              <a:extLst>
                <a:ext uri="{FF2B5EF4-FFF2-40B4-BE49-F238E27FC236}">
                  <a16:creationId xmlns:a16="http://schemas.microsoft.com/office/drawing/2014/main" id="{00000000-0008-0000-0000-0000AB000000}"/>
                </a:ext>
              </a:extLst>
            </xdr:cNvPr>
            <xdr:cNvSpPr/>
          </xdr:nvSpPr>
          <xdr:spPr>
            <a:xfrm>
              <a:off x="22962131" y="3634202"/>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2</a:t>
              </a:r>
              <a:endParaRPr lang="en-GB" sz="1100" b="0" i="1" u="none">
                <a:solidFill>
                  <a:schemeClr val="tx1">
                    <a:lumMod val="85000"/>
                    <a:lumOff val="15000"/>
                  </a:schemeClr>
                </a:solidFill>
              </a:endParaRPr>
            </a:p>
          </xdr:txBody>
        </xdr:sp>
        <xdr:sp macro="" textlink="">
          <xdr:nvSpPr>
            <xdr:cNvPr id="172" name="Rectangle 171">
              <a:extLst>
                <a:ext uri="{FF2B5EF4-FFF2-40B4-BE49-F238E27FC236}">
                  <a16:creationId xmlns:a16="http://schemas.microsoft.com/office/drawing/2014/main" id="{00000000-0008-0000-0000-0000AC000000}"/>
                </a:ext>
              </a:extLst>
            </xdr:cNvPr>
            <xdr:cNvSpPr/>
          </xdr:nvSpPr>
          <xdr:spPr>
            <a:xfrm>
              <a:off x="27218219" y="3662248"/>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1</a:t>
              </a:r>
              <a:endParaRPr lang="en-GB" sz="1100" b="0" i="1" u="none">
                <a:solidFill>
                  <a:schemeClr val="tx1">
                    <a:lumMod val="85000"/>
                    <a:lumOff val="15000"/>
                  </a:schemeClr>
                </a:solidFill>
              </a:endParaRPr>
            </a:p>
          </xdr:txBody>
        </xdr: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31369531" y="3659603"/>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100" b="0" i="1" u="none">
                <a:solidFill>
                  <a:schemeClr val="tx1">
                    <a:lumMod val="85000"/>
                    <a:lumOff val="15000"/>
                  </a:schemeClr>
                </a:solidFill>
              </a:endParaRPr>
            </a:p>
          </xdr:txBody>
        </xdr:sp>
      </xdr:grpSp>
      <xdr:pic>
        <xdr:nvPicPr>
          <xdr:cNvPr id="50" name="Pictur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7"/>
          <a:stretch>
            <a:fillRect/>
          </a:stretch>
        </xdr:blipFill>
        <xdr:spPr>
          <a:xfrm>
            <a:off x="25955624" y="4381998"/>
            <a:ext cx="3762375" cy="727946"/>
          </a:xfrm>
          <a:prstGeom prst="rect">
            <a:avLst/>
          </a:prstGeom>
        </xdr:spPr>
      </xdr:pic>
      <xdr:pic>
        <xdr:nvPicPr>
          <xdr:cNvPr id="51" name="Picture 50">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28"/>
          <a:stretch>
            <a:fillRect/>
          </a:stretch>
        </xdr:blipFill>
        <xdr:spPr>
          <a:xfrm>
            <a:off x="25915938" y="5183188"/>
            <a:ext cx="1099891" cy="742731"/>
          </a:xfrm>
          <a:prstGeom prst="rect">
            <a:avLst/>
          </a:prstGeom>
        </xdr:spPr>
      </xdr:pic>
    </xdr:grpSp>
    <xdr:clientData/>
  </xdr:twoCellAnchor>
  <xdr:twoCellAnchor editAs="oneCell">
    <xdr:from>
      <xdr:col>1</xdr:col>
      <xdr:colOff>473558</xdr:colOff>
      <xdr:row>74</xdr:row>
      <xdr:rowOff>161440</xdr:rowOff>
    </xdr:from>
    <xdr:to>
      <xdr:col>5</xdr:col>
      <xdr:colOff>543469</xdr:colOff>
      <xdr:row>78</xdr:row>
      <xdr:rowOff>10528</xdr:rowOff>
    </xdr:to>
    <xdr:pic>
      <xdr:nvPicPr>
        <xdr:cNvPr id="19" name="Picture 18">
          <a:extLst>
            <a:ext uri="{FF2B5EF4-FFF2-40B4-BE49-F238E27FC236}">
              <a16:creationId xmlns:a16="http://schemas.microsoft.com/office/drawing/2014/main" id="{259C0678-911D-471F-A6C5-CC5541B84ED8}"/>
            </a:ext>
          </a:extLst>
        </xdr:cNvPr>
        <xdr:cNvPicPr>
          <a:picLocks noChangeAspect="1"/>
        </xdr:cNvPicPr>
      </xdr:nvPicPr>
      <xdr:blipFill>
        <a:blip xmlns:r="http://schemas.openxmlformats.org/officeDocument/2006/relationships" r:embed="rId29"/>
        <a:stretch>
          <a:fillRect/>
        </a:stretch>
      </xdr:blipFill>
      <xdr:spPr>
        <a:xfrm>
          <a:off x="1087033" y="13776271"/>
          <a:ext cx="2523809" cy="580952"/>
        </a:xfrm>
        <a:prstGeom prst="rect">
          <a:avLst/>
        </a:prstGeom>
      </xdr:spPr>
    </xdr:pic>
    <xdr:clientData/>
  </xdr:twoCellAnchor>
  <xdr:twoCellAnchor editAs="oneCell">
    <xdr:from>
      <xdr:col>6</xdr:col>
      <xdr:colOff>322882</xdr:colOff>
      <xdr:row>73</xdr:row>
      <xdr:rowOff>75340</xdr:rowOff>
    </xdr:from>
    <xdr:to>
      <xdr:col>9</xdr:col>
      <xdr:colOff>72934</xdr:colOff>
      <xdr:row>78</xdr:row>
      <xdr:rowOff>170033</xdr:rowOff>
    </xdr:to>
    <xdr:pic>
      <xdr:nvPicPr>
        <xdr:cNvPr id="27" name="Picture 26">
          <a:extLst>
            <a:ext uri="{FF2B5EF4-FFF2-40B4-BE49-F238E27FC236}">
              <a16:creationId xmlns:a16="http://schemas.microsoft.com/office/drawing/2014/main" id="{1961D529-D343-4821-961D-DE90D1A24A3F}"/>
            </a:ext>
          </a:extLst>
        </xdr:cNvPr>
        <xdr:cNvPicPr>
          <a:picLocks noChangeAspect="1"/>
        </xdr:cNvPicPr>
      </xdr:nvPicPr>
      <xdr:blipFill>
        <a:blip xmlns:r="http://schemas.openxmlformats.org/officeDocument/2006/relationships" r:embed="rId30"/>
        <a:stretch>
          <a:fillRect/>
        </a:stretch>
      </xdr:blipFill>
      <xdr:spPr>
        <a:xfrm>
          <a:off x="4003729" y="13507204"/>
          <a:ext cx="1590476" cy="1009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13</xdr:col>
      <xdr:colOff>407389</xdr:colOff>
      <xdr:row>32</xdr:row>
      <xdr:rowOff>170754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269874</xdr:colOff>
      <xdr:row>0</xdr:row>
      <xdr:rowOff>82550</xdr:rowOff>
    </xdr:from>
    <xdr:to>
      <xdr:col>12</xdr:col>
      <xdr:colOff>304800</xdr:colOff>
      <xdr:row>33</xdr:row>
      <xdr:rowOff>95250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26</xdr:col>
      <xdr:colOff>407389</xdr:colOff>
      <xdr:row>34</xdr:row>
      <xdr:rowOff>170754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0</xdr:rowOff>
    </xdr:from>
    <xdr:to>
      <xdr:col>2</xdr:col>
      <xdr:colOff>434125</xdr:colOff>
      <xdr:row>31</xdr:row>
      <xdr:rowOff>35982</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1038" y="3594340"/>
          <a:ext cx="1045162" cy="2012868"/>
          <a:chOff x="6356048" y="9042208"/>
          <a:chExt cx="1047430" cy="1971291"/>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6356048" y="9042208"/>
            <a:ext cx="1007946" cy="1971291"/>
          </a:xfrm>
          <a:prstGeom prst="rect">
            <a:avLst/>
          </a:prstGeom>
          <a:solidFill>
            <a:schemeClr val="bg1"/>
          </a:solidFill>
          <a:ln w="15875" cap="flat" cmpd="sng" algn="ctr">
            <a:solidFill>
              <a:sysClr val="windowText" lastClr="000000">
                <a:lumMod val="85000"/>
                <a:lumOff val="15000"/>
              </a:sys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a:stretch>
            <a:fillRect/>
          </a:stretch>
        </xdr:blipFill>
        <xdr:spPr>
          <a:xfrm rot="5400000">
            <a:off x="5842594" y="10012757"/>
            <a:ext cx="1525252" cy="263656"/>
          </a:xfrm>
          <a:prstGeom prst="rect">
            <a:avLst/>
          </a:prstGeom>
        </xdr:spPr>
      </xdr:pic>
      <xdr:sp macro="" textlink="">
        <xdr:nvSpPr>
          <xdr:cNvPr id="11" name="Rectangle 10">
            <a:extLst>
              <a:ext uri="{FF2B5EF4-FFF2-40B4-BE49-F238E27FC236}">
                <a16:creationId xmlns:a16="http://schemas.microsoft.com/office/drawing/2014/main" id="{00000000-0008-0000-0200-00000B000000}"/>
              </a:ext>
            </a:extLst>
          </xdr:cNvPr>
          <xdr:cNvSpPr/>
        </xdr:nvSpPr>
        <xdr:spPr>
          <a:xfrm>
            <a:off x="6401842" y="9093496"/>
            <a:ext cx="1001636" cy="32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lumMod val="85000"/>
                    <a:lumOff val="15000"/>
                  </a:schemeClr>
                </a:solidFill>
              </a:rPr>
              <a:t>Prediction</a:t>
            </a:r>
          </a:p>
        </xdr:txBody>
      </xdr:sp>
      <xdr:sp macro="" textlink="">
        <xdr:nvSpPr>
          <xdr:cNvPr id="12" name="Rectangle 11">
            <a:extLst>
              <a:ext uri="{FF2B5EF4-FFF2-40B4-BE49-F238E27FC236}">
                <a16:creationId xmlns:a16="http://schemas.microsoft.com/office/drawing/2014/main" id="{00000000-0008-0000-0200-00000C000000}"/>
              </a:ext>
            </a:extLst>
          </xdr:cNvPr>
          <xdr:cNvSpPr/>
        </xdr:nvSpPr>
        <xdr:spPr>
          <a:xfrm>
            <a:off x="6709124" y="10206986"/>
            <a:ext cx="542320" cy="315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0.67</a:t>
            </a:r>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6721335" y="10643112"/>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1</a:t>
            </a: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6696668" y="9827311"/>
            <a:ext cx="542320" cy="314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0.33</a:t>
            </a:r>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6708635" y="9393994"/>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a:t>
            </a:r>
          </a:p>
        </xdr:txBody>
      </xdr:sp>
    </xdr:grpSp>
    <xdr:clientData/>
  </xdr:twoCellAnchor>
  <xdr:twoCellAnchor>
    <xdr:from>
      <xdr:col>0</xdr:col>
      <xdr:colOff>311509</xdr:colOff>
      <xdr:row>34</xdr:row>
      <xdr:rowOff>107831</xdr:rowOff>
    </xdr:from>
    <xdr:to>
      <xdr:col>8</xdr:col>
      <xdr:colOff>199417</xdr:colOff>
      <xdr:row>46</xdr:row>
      <xdr:rowOff>71654</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11509" y="6218208"/>
          <a:ext cx="4776210" cy="2120427"/>
          <a:chOff x="966610" y="2674056"/>
          <a:chExt cx="4783667" cy="2159000"/>
        </a:xfrm>
      </xdr:grpSpPr>
      <xdr:sp macro="" textlink="">
        <xdr:nvSpPr>
          <xdr:cNvPr id="17" name="Rectangle 16">
            <a:extLst>
              <a:ext uri="{FF2B5EF4-FFF2-40B4-BE49-F238E27FC236}">
                <a16:creationId xmlns:a16="http://schemas.microsoft.com/office/drawing/2014/main" id="{00000000-0008-0000-0200-000011000000}"/>
              </a:ext>
            </a:extLst>
          </xdr:cNvPr>
          <xdr:cNvSpPr/>
        </xdr:nvSpPr>
        <xdr:spPr>
          <a:xfrm>
            <a:off x="966610" y="2674056"/>
            <a:ext cx="4783667" cy="21590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Oval 17">
            <a:extLst>
              <a:ext uri="{FF2B5EF4-FFF2-40B4-BE49-F238E27FC236}">
                <a16:creationId xmlns:a16="http://schemas.microsoft.com/office/drawing/2014/main" id="{00000000-0008-0000-0200-000012000000}"/>
              </a:ext>
            </a:extLst>
          </xdr:cNvPr>
          <xdr:cNvSpPr/>
        </xdr:nvSpPr>
        <xdr:spPr>
          <a:xfrm>
            <a:off x="1266896" y="3236243"/>
            <a:ext cx="480060" cy="428413"/>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19" name="Oval 18">
            <a:extLst>
              <a:ext uri="{FF2B5EF4-FFF2-40B4-BE49-F238E27FC236}">
                <a16:creationId xmlns:a16="http://schemas.microsoft.com/office/drawing/2014/main" id="{00000000-0008-0000-0200-000013000000}"/>
              </a:ext>
            </a:extLst>
          </xdr:cNvPr>
          <xdr:cNvSpPr/>
        </xdr:nvSpPr>
        <xdr:spPr>
          <a:xfrm>
            <a:off x="1262098" y="3954498"/>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20" name="Oval 19">
            <a:extLst>
              <a:ext uri="{FF2B5EF4-FFF2-40B4-BE49-F238E27FC236}">
                <a16:creationId xmlns:a16="http://schemas.microsoft.com/office/drawing/2014/main" id="{00000000-0008-0000-0200-000014000000}"/>
              </a:ext>
            </a:extLst>
          </xdr:cNvPr>
          <xdr:cNvSpPr/>
        </xdr:nvSpPr>
        <xdr:spPr>
          <a:xfrm>
            <a:off x="3148189"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21" name="Oval 20">
            <a:extLst>
              <a:ext uri="{FF2B5EF4-FFF2-40B4-BE49-F238E27FC236}">
                <a16:creationId xmlns:a16="http://schemas.microsoft.com/office/drawing/2014/main" id="{00000000-0008-0000-0200-000015000000}"/>
              </a:ext>
            </a:extLst>
          </xdr:cNvPr>
          <xdr:cNvSpPr/>
        </xdr:nvSpPr>
        <xdr:spPr>
          <a:xfrm>
            <a:off x="4930422"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22" name="Straight Connector 21">
            <a:extLst>
              <a:ext uri="{FF2B5EF4-FFF2-40B4-BE49-F238E27FC236}">
                <a16:creationId xmlns:a16="http://schemas.microsoft.com/office/drawing/2014/main" id="{00000000-0008-0000-0200-000016000000}"/>
              </a:ext>
            </a:extLst>
          </xdr:cNvPr>
          <xdr:cNvCxnSpPr/>
        </xdr:nvCxnSpPr>
        <xdr:spPr>
          <a:xfrm>
            <a:off x="1811302" y="3462020"/>
            <a:ext cx="1208476" cy="277424"/>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200-000017000000}"/>
              </a:ext>
            </a:extLst>
          </xdr:cNvPr>
          <xdr:cNvCxnSpPr/>
        </xdr:nvCxnSpPr>
        <xdr:spPr>
          <a:xfrm flipV="1">
            <a:off x="1855611" y="3818752"/>
            <a:ext cx="1164732" cy="32991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200-000018000000}"/>
              </a:ext>
            </a:extLst>
          </xdr:cNvPr>
          <xdr:cNvCxnSpPr/>
        </xdr:nvCxnSpPr>
        <xdr:spPr>
          <a:xfrm>
            <a:off x="3732107" y="3758071"/>
            <a:ext cx="1063977"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TextBox 24">
            <a:extLst>
              <a:ext uri="{FF2B5EF4-FFF2-40B4-BE49-F238E27FC236}">
                <a16:creationId xmlns:a16="http://schemas.microsoft.com/office/drawing/2014/main" id="{00000000-0008-0000-0200-000019000000}"/>
              </a:ext>
            </a:extLst>
          </xdr:cNvPr>
          <xdr:cNvSpPr txBox="1"/>
        </xdr:nvSpPr>
        <xdr:spPr>
          <a:xfrm rot="801931">
            <a:off x="2144887" y="3337278"/>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w1, b1</a:t>
            </a: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rot="20682794">
            <a:off x="2173697" y="3968610"/>
            <a:ext cx="6266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w2, b2</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025336" y="3789115"/>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w3, b3</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1231900" y="2805290"/>
            <a:ext cx="524933" cy="313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28244" y="2760134"/>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4831644" y="2757311"/>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D379-7A15-4C38-8A8E-23B32B128455}">
  <sheetPr codeName="Sheet1"/>
  <dimension ref="B2:BK209"/>
  <sheetViews>
    <sheetView tabSelected="1" zoomScale="59" zoomScaleNormal="80" workbookViewId="0">
      <selection activeCell="I14" sqref="I14"/>
    </sheetView>
  </sheetViews>
  <sheetFormatPr defaultRowHeight="14.5" x14ac:dyDescent="0.35"/>
  <cols>
    <col min="11" max="11" width="12" customWidth="1"/>
    <col min="12" max="12" width="11.6328125" customWidth="1"/>
    <col min="13" max="13" width="9.90625" customWidth="1"/>
    <col min="15" max="15" width="10.54296875" customWidth="1"/>
    <col min="23" max="23" width="10.453125" customWidth="1"/>
  </cols>
  <sheetData>
    <row r="2" spans="3:63" ht="15" thickBot="1" x14ac:dyDescent="0.4">
      <c r="BD2" s="6"/>
      <c r="BE2" s="6"/>
      <c r="BF2" s="6"/>
      <c r="BG2" s="6"/>
      <c r="BH2" s="6"/>
      <c r="BI2" s="6"/>
      <c r="BJ2" s="6"/>
      <c r="BK2" s="6"/>
    </row>
    <row r="3" spans="3:63" x14ac:dyDescent="0.35">
      <c r="C3" s="84" t="s">
        <v>67</v>
      </c>
      <c r="D3" s="85"/>
      <c r="E3" s="85"/>
      <c r="F3" s="45"/>
      <c r="G3" s="85" t="s">
        <v>3</v>
      </c>
      <c r="H3" s="85"/>
      <c r="I3" s="86"/>
      <c r="K3" s="84" t="s">
        <v>68</v>
      </c>
      <c r="L3" s="85"/>
      <c r="M3" s="86"/>
      <c r="R3" s="84" t="s">
        <v>69</v>
      </c>
      <c r="S3" s="85"/>
      <c r="T3" s="85"/>
      <c r="U3" s="86"/>
      <c r="X3" s="87" t="s">
        <v>6</v>
      </c>
      <c r="Y3" s="88"/>
      <c r="Z3" s="88"/>
      <c r="AA3" s="89"/>
      <c r="AC3" s="87" t="s">
        <v>8</v>
      </c>
      <c r="AD3" s="88"/>
      <c r="AE3" s="88"/>
      <c r="AF3" s="89"/>
      <c r="AG3" s="1"/>
      <c r="AI3" s="87" t="s">
        <v>5</v>
      </c>
      <c r="AJ3" s="88"/>
      <c r="AK3" s="88"/>
      <c r="AL3" s="88"/>
      <c r="AM3" s="88"/>
      <c r="AN3" s="89"/>
      <c r="AP3" s="87" t="s">
        <v>7</v>
      </c>
      <c r="AQ3" s="88"/>
      <c r="AR3" s="88"/>
      <c r="AS3" s="88"/>
      <c r="AT3" s="88"/>
      <c r="AU3" s="89"/>
      <c r="AW3" s="87" t="s">
        <v>4</v>
      </c>
      <c r="AX3" s="90"/>
      <c r="AY3" s="90"/>
      <c r="AZ3" s="90"/>
      <c r="BA3" s="90"/>
      <c r="BB3" s="91"/>
      <c r="BD3" s="64"/>
      <c r="BE3" s="64"/>
      <c r="BF3" s="64"/>
      <c r="BG3" s="64"/>
      <c r="BH3" s="64"/>
      <c r="BI3" s="64"/>
      <c r="BJ3" s="6"/>
      <c r="BK3" s="6"/>
    </row>
    <row r="4" spans="3:63" ht="15" thickBot="1" x14ac:dyDescent="0.4">
      <c r="C4" s="46" t="s">
        <v>0</v>
      </c>
      <c r="D4" s="44" t="s">
        <v>2</v>
      </c>
      <c r="E4" s="44" t="s">
        <v>1</v>
      </c>
      <c r="F4" s="6"/>
      <c r="G4" s="44" t="s">
        <v>0</v>
      </c>
      <c r="H4" s="44" t="s">
        <v>2</v>
      </c>
      <c r="I4" s="47" t="s">
        <v>1</v>
      </c>
      <c r="K4" s="46" t="s">
        <v>13</v>
      </c>
      <c r="L4" s="6"/>
      <c r="M4" s="47" t="s">
        <v>72</v>
      </c>
      <c r="R4" s="36" t="s">
        <v>10</v>
      </c>
      <c r="S4" s="58" t="s">
        <v>11</v>
      </c>
      <c r="T4" s="58" t="s">
        <v>9</v>
      </c>
      <c r="U4" s="59" t="s">
        <v>12</v>
      </c>
      <c r="X4" s="5" t="s">
        <v>14</v>
      </c>
      <c r="Y4" s="6" t="s">
        <v>26</v>
      </c>
      <c r="Z4" s="6" t="s">
        <v>15</v>
      </c>
      <c r="AA4" s="7" t="s">
        <v>43</v>
      </c>
      <c r="AC4" s="5" t="s">
        <v>17</v>
      </c>
      <c r="AD4" s="6" t="s">
        <v>18</v>
      </c>
      <c r="AE4" s="6" t="s">
        <v>15</v>
      </c>
      <c r="AF4" s="7" t="s">
        <v>43</v>
      </c>
      <c r="AI4" s="5" t="s">
        <v>42</v>
      </c>
      <c r="AJ4" s="6" t="s">
        <v>41</v>
      </c>
      <c r="AK4" s="6" t="s">
        <v>40</v>
      </c>
      <c r="AL4" s="6" t="s">
        <v>39</v>
      </c>
      <c r="AM4" s="6" t="s">
        <v>15</v>
      </c>
      <c r="AN4" s="7" t="s">
        <v>43</v>
      </c>
      <c r="AP4" s="5" t="s">
        <v>45</v>
      </c>
      <c r="AQ4" s="6" t="s">
        <v>44</v>
      </c>
      <c r="AR4" s="6" t="s">
        <v>40</v>
      </c>
      <c r="AS4" s="6" t="s">
        <v>39</v>
      </c>
      <c r="AT4" s="6" t="s">
        <v>15</v>
      </c>
      <c r="AU4" s="7" t="s">
        <v>43</v>
      </c>
      <c r="AW4" s="5" t="s">
        <v>47</v>
      </c>
      <c r="AX4" s="6" t="s">
        <v>46</v>
      </c>
      <c r="AY4" s="6" t="s">
        <v>40</v>
      </c>
      <c r="AZ4" s="6" t="s">
        <v>39</v>
      </c>
      <c r="BA4" s="6" t="s">
        <v>15</v>
      </c>
      <c r="BB4" s="7" t="s">
        <v>43</v>
      </c>
      <c r="BD4" s="6"/>
      <c r="BE4" s="6"/>
      <c r="BF4" s="6"/>
      <c r="BG4" s="6"/>
      <c r="BH4" s="6"/>
      <c r="BI4" s="6"/>
      <c r="BJ4" s="6"/>
      <c r="BK4" s="6"/>
    </row>
    <row r="5" spans="3:63" x14ac:dyDescent="0.35">
      <c r="C5" s="48">
        <v>22</v>
      </c>
      <c r="D5" s="49">
        <v>55</v>
      </c>
      <c r="E5" s="49">
        <v>0</v>
      </c>
      <c r="F5" s="49"/>
      <c r="G5" s="54">
        <f>C5/MAX($C$5:$C$12)</f>
        <v>0.33333333333333331</v>
      </c>
      <c r="H5" s="54">
        <f>D5/MAX($D$5:$D$12)</f>
        <v>1</v>
      </c>
      <c r="I5" s="52">
        <f>E5</f>
        <v>0</v>
      </c>
      <c r="K5" s="8">
        <f>T5</f>
        <v>0.14435394107714852</v>
      </c>
      <c r="L5" s="6"/>
      <c r="M5" s="10">
        <f>ABS(LOG((1-ABS(K5-I5))))</f>
        <v>6.7705845655384969E-2</v>
      </c>
      <c r="O5" s="14" t="s">
        <v>4</v>
      </c>
      <c r="P5" s="32">
        <v>-3.2670772690082055</v>
      </c>
      <c r="R5" s="8">
        <f>(U5*$P$7) + $P$9</f>
        <v>-1.7795886000995287</v>
      </c>
      <c r="S5" s="9">
        <f>(G5 * $P$5) + (H5 * $P$6) + $P$8</f>
        <v>1.8515577445561171</v>
      </c>
      <c r="T5" s="9">
        <f>1/(1+ EXP(-R5))</f>
        <v>0.14435394107714852</v>
      </c>
      <c r="U5" s="10">
        <f>1/(1+ EXP(-S5))</f>
        <v>0.86430989632198518</v>
      </c>
      <c r="W5" s="3"/>
      <c r="X5" s="8">
        <f>Y5*Z5*AA5</f>
        <v>3.0821298120082535E-2</v>
      </c>
      <c r="Y5" s="9">
        <f>U5</f>
        <v>0.86430989632198518</v>
      </c>
      <c r="Z5" s="9">
        <f>$T5 * (1 - $T5)</f>
        <v>0.12351588077264367</v>
      </c>
      <c r="AA5" s="10">
        <f>2 * ($T5 - $I5)</f>
        <v>0.28870788215429705</v>
      </c>
      <c r="AC5" s="8">
        <f>AD5*AE5*AF5</f>
        <v>3.5660008350292614E-2</v>
      </c>
      <c r="AD5" s="9">
        <v>1</v>
      </c>
      <c r="AE5" s="9">
        <f>$T5 * (1 - $T5)</f>
        <v>0.12351588077264367</v>
      </c>
      <c r="AF5" s="10">
        <f>2 * ($T5 - $I5)</f>
        <v>0.28870788215429705</v>
      </c>
      <c r="AG5" s="3"/>
      <c r="AI5" s="8">
        <f>AJ5*AK5*AL5*AM5*AN5</f>
        <v>-1.8535803789444378E-2</v>
      </c>
      <c r="AJ5" s="9">
        <f>H5</f>
        <v>1</v>
      </c>
      <c r="AK5" s="9">
        <f>$U5 * (1 - $U5)</f>
        <v>0.11727829944186441</v>
      </c>
      <c r="AL5" s="9">
        <f>$P$7</f>
        <v>-4.4321282931241699</v>
      </c>
      <c r="AM5" s="9">
        <f>$T5 * (1 - $T5)</f>
        <v>0.12351588077264367</v>
      </c>
      <c r="AN5" s="10">
        <f>2 * ($T5 - $I5)</f>
        <v>0.28870788215429705</v>
      </c>
      <c r="AP5" s="8">
        <f>AQ5*AR5*AS5*AT5*AU5</f>
        <v>-1.8535803789444378E-2</v>
      </c>
      <c r="AQ5" s="9">
        <v>1</v>
      </c>
      <c r="AR5" s="9">
        <f>$U5 * (1 - $U5)</f>
        <v>0.11727829944186441</v>
      </c>
      <c r="AS5" s="9">
        <f>$P$7</f>
        <v>-4.4321282931241699</v>
      </c>
      <c r="AT5" s="9">
        <f>$T5 * (1 - $T5)</f>
        <v>0.12351588077264367</v>
      </c>
      <c r="AU5" s="10">
        <f>2 * ($T5 - $I5)</f>
        <v>0.28870788215429705</v>
      </c>
      <c r="AW5" s="8">
        <f>AX5*AY5*AZ5*BA5*BB5</f>
        <v>-6.1786012631481254E-3</v>
      </c>
      <c r="AX5" s="9">
        <f>G5</f>
        <v>0.33333333333333331</v>
      </c>
      <c r="AY5" s="9">
        <f>$U5 * (1 - $U5)</f>
        <v>0.11727829944186441</v>
      </c>
      <c r="AZ5" s="9">
        <f>$P$7</f>
        <v>-4.4321282931241699</v>
      </c>
      <c r="BA5" s="9">
        <f>$T5 * (1 - $T5)</f>
        <v>0.12351588077264367</v>
      </c>
      <c r="BB5" s="10">
        <f>2 * ($T5 - $I5)</f>
        <v>0.28870788215429705</v>
      </c>
      <c r="BD5" s="9"/>
      <c r="BE5" s="9"/>
      <c r="BF5" s="9"/>
      <c r="BG5" s="9"/>
      <c r="BH5" s="9"/>
      <c r="BI5" s="9"/>
      <c r="BJ5" s="6"/>
      <c r="BK5" s="6"/>
    </row>
    <row r="6" spans="3:63" x14ac:dyDescent="0.35">
      <c r="C6" s="48">
        <v>34</v>
      </c>
      <c r="D6" s="49">
        <v>34</v>
      </c>
      <c r="E6" s="49">
        <v>0</v>
      </c>
      <c r="F6" s="49"/>
      <c r="G6" s="54">
        <f t="shared" ref="G6:G12" si="0">C6/MAX($C$5:$C$12)</f>
        <v>0.51515151515151514</v>
      </c>
      <c r="H6" s="54">
        <f t="shared" ref="H6:H12" si="1">D6/MAX($D$5:$D$12)</f>
        <v>0.61818181818181817</v>
      </c>
      <c r="I6" s="52">
        <f t="shared" ref="I6:I12" si="2">E6</f>
        <v>0</v>
      </c>
      <c r="K6" s="8">
        <f>T6</f>
        <v>0.38502867294288345</v>
      </c>
      <c r="L6" s="6"/>
      <c r="M6" s="10">
        <f t="shared" ref="M6:M12" si="3">ABS(LOG((1-ABS(K6-I6))))</f>
        <v>0.2111451326655063</v>
      </c>
      <c r="O6" s="15" t="s">
        <v>5</v>
      </c>
      <c r="P6" s="34">
        <v>2.5720412418593179</v>
      </c>
      <c r="R6" s="8">
        <f t="shared" ref="R6:R12" si="4">(U6*$P$7) + $P$9</f>
        <v>-0.46825783735732562</v>
      </c>
      <c r="S6" s="9">
        <f t="shared" ref="S6:S11" si="5">(G6 * $P$5) + (H6 * $P$6) + $P$8</f>
        <v>0.27549158511743088</v>
      </c>
      <c r="T6" s="9">
        <f>1/(1+ EXP(-R6))</f>
        <v>0.38502867294288345</v>
      </c>
      <c r="U6" s="10">
        <f>1/(1+ EXP(-S6))</f>
        <v>0.56844058117229734</v>
      </c>
      <c r="W6" s="3"/>
      <c r="X6" s="8">
        <f t="shared" ref="X6:X12" si="6">Y6*Z6*AA6</f>
        <v>0.10364684403861094</v>
      </c>
      <c r="Y6" s="9">
        <f t="shared" ref="Y6:Y12" si="7">U6</f>
        <v>0.56844058117229734</v>
      </c>
      <c r="Z6" s="9">
        <f t="shared" ref="Z6:Z12" si="8">$T6 * (1 - $T6)</f>
        <v>0.23678159395472553</v>
      </c>
      <c r="AA6" s="10">
        <f t="shared" ref="AA6:AA12" si="9">2 * ($T6 - $I6)</f>
        <v>0.77005734588576691</v>
      </c>
      <c r="AC6" s="8">
        <f t="shared" ref="AC6:AC12" si="10">AD6*AE6*AF6</f>
        <v>0.1823354057953773</v>
      </c>
      <c r="AD6" s="9">
        <v>1</v>
      </c>
      <c r="AE6" s="9">
        <f t="shared" ref="AE6:AE12" si="11">$T6 * (1 - $T6)</f>
        <v>0.23678159395472553</v>
      </c>
      <c r="AF6" s="10">
        <f t="shared" ref="AF6:AF12" si="12">2 * ($T6 - $I6)</f>
        <v>0.77005734588576691</v>
      </c>
      <c r="AG6" s="3"/>
      <c r="AI6" s="8">
        <f t="shared" ref="AI6:AI12" si="13">AJ6*AK6*AL6*AM6*AN6</f>
        <v>-0.12255336289509434</v>
      </c>
      <c r="AJ6" s="9">
        <f t="shared" ref="AJ6:AJ12" si="14">H6</f>
        <v>0.61818181818181817</v>
      </c>
      <c r="AK6" s="9">
        <f>$U6 * (1 - $U6)</f>
        <v>0.24531588684879818</v>
      </c>
      <c r="AL6" s="9">
        <f t="shared" ref="AL6:AL12" si="15">$P$7</f>
        <v>-4.4321282931241699</v>
      </c>
      <c r="AM6" s="9">
        <f t="shared" ref="AM6:AM12" si="16">$T6 * (1 - $T6)</f>
        <v>0.23678159395472553</v>
      </c>
      <c r="AN6" s="10">
        <f t="shared" ref="AN6:AN12" si="17">2 * ($T6 - $I6)</f>
        <v>0.77005734588576691</v>
      </c>
      <c r="AP6" s="8">
        <f t="shared" ref="AP6:AP12" si="18">AQ6*AR6*AS6*AT6*AU6</f>
        <v>-0.19824808703618207</v>
      </c>
      <c r="AQ6" s="9">
        <v>1</v>
      </c>
      <c r="AR6" s="9">
        <f>$U6 * (1 - $U6)</f>
        <v>0.24531588684879818</v>
      </c>
      <c r="AS6" s="9">
        <f t="shared" ref="AS6:AS12" si="19">$P$7</f>
        <v>-4.4321282931241699</v>
      </c>
      <c r="AT6" s="9">
        <f t="shared" ref="AT6:AT12" si="20">$T6 * (1 - $T6)</f>
        <v>0.23678159395472553</v>
      </c>
      <c r="AU6" s="10">
        <f t="shared" ref="AU6:AU12" si="21">2 * ($T6 - $I6)</f>
        <v>0.77005734588576691</v>
      </c>
      <c r="AW6" s="8">
        <f t="shared" ref="AW6:AW12" si="22">AX6*AY6*AZ6*BA6*BB6</f>
        <v>-0.10212780241257861</v>
      </c>
      <c r="AX6" s="9">
        <f t="shared" ref="AX6:AX12" si="23">G6</f>
        <v>0.51515151515151514</v>
      </c>
      <c r="AY6" s="9">
        <f>$U6 * (1 - $U6)</f>
        <v>0.24531588684879818</v>
      </c>
      <c r="AZ6" s="9">
        <f t="shared" ref="AZ6:AZ12" si="24">$P$7</f>
        <v>-4.4321282931241699</v>
      </c>
      <c r="BA6" s="9">
        <f t="shared" ref="BA6:BA12" si="25">$T6 * (1 - $T6)</f>
        <v>0.23678159395472553</v>
      </c>
      <c r="BB6" s="10">
        <f t="shared" ref="BB6:BB12" si="26">2 * ($T6 - $I6)</f>
        <v>0.77005734588576691</v>
      </c>
      <c r="BD6" s="9"/>
      <c r="BE6" s="9"/>
      <c r="BF6" s="9"/>
      <c r="BG6" s="9"/>
      <c r="BH6" s="9"/>
      <c r="BI6" s="9"/>
      <c r="BJ6" s="6"/>
      <c r="BK6" s="6"/>
    </row>
    <row r="7" spans="3:63" x14ac:dyDescent="0.35">
      <c r="C7" s="48">
        <v>21</v>
      </c>
      <c r="D7" s="49">
        <v>24</v>
      </c>
      <c r="E7" s="49">
        <v>0</v>
      </c>
      <c r="F7" s="49"/>
      <c r="G7" s="54">
        <f t="shared" si="0"/>
        <v>0.31818181818181818</v>
      </c>
      <c r="H7" s="54">
        <f t="shared" si="1"/>
        <v>0.43636363636363634</v>
      </c>
      <c r="I7" s="52">
        <f t="shared" si="2"/>
        <v>0</v>
      </c>
      <c r="K7" s="8">
        <f>T7</f>
        <v>0.34147596984591894</v>
      </c>
      <c r="L7" s="6"/>
      <c r="M7" s="10">
        <f t="shared" si="3"/>
        <v>0.18142837260363739</v>
      </c>
      <c r="O7" s="15" t="s">
        <v>6</v>
      </c>
      <c r="P7" s="34">
        <v>-4.4321282931241699</v>
      </c>
      <c r="R7" s="8">
        <f t="shared" si="4"/>
        <v>-0.65672370272722436</v>
      </c>
      <c r="S7" s="9">
        <f t="shared" si="5"/>
        <v>0.45136294261432264</v>
      </c>
      <c r="T7" s="9">
        <f t="shared" ref="T7:T11" si="27">1/(1+ EXP(-R7))</f>
        <v>0.34147596984591894</v>
      </c>
      <c r="U7" s="10">
        <f t="shared" ref="U7:U11" si="28">1/(1+ EXP(-S7))</f>
        <v>0.61096323685947085</v>
      </c>
      <c r="W7" s="3"/>
      <c r="X7" s="8">
        <f>Y7*Z7*AA7</f>
        <v>9.3828980143711854E-2</v>
      </c>
      <c r="Y7" s="9">
        <f t="shared" si="7"/>
        <v>0.61096323685947085</v>
      </c>
      <c r="Z7" s="9">
        <f t="shared" si="8"/>
        <v>0.22487013186370802</v>
      </c>
      <c r="AA7" s="10">
        <f t="shared" si="9"/>
        <v>0.68295193969183787</v>
      </c>
      <c r="AC7" s="8">
        <f t="shared" si="10"/>
        <v>0.15357549273507876</v>
      </c>
      <c r="AD7" s="9">
        <v>1</v>
      </c>
      <c r="AE7" s="9">
        <f t="shared" si="11"/>
        <v>0.22487013186370802</v>
      </c>
      <c r="AF7" s="10">
        <f t="shared" si="12"/>
        <v>0.68295193969183787</v>
      </c>
      <c r="AG7" s="3"/>
      <c r="AI7" s="8">
        <f t="shared" si="13"/>
        <v>-7.0597368692187579E-2</v>
      </c>
      <c r="AJ7" s="9">
        <f t="shared" si="14"/>
        <v>0.43636363636363634</v>
      </c>
      <c r="AK7" s="9">
        <f t="shared" ref="AK7:AK12" si="29">$U7 * (1 - $U7)</f>
        <v>0.23768716006566898</v>
      </c>
      <c r="AL7" s="9">
        <f t="shared" si="15"/>
        <v>-4.4321282931241699</v>
      </c>
      <c r="AM7" s="9">
        <f t="shared" si="16"/>
        <v>0.22487013186370802</v>
      </c>
      <c r="AN7" s="10">
        <f t="shared" si="17"/>
        <v>0.68295193969183787</v>
      </c>
      <c r="AP7" s="8">
        <f t="shared" si="18"/>
        <v>-0.16178563658626322</v>
      </c>
      <c r="AQ7" s="9">
        <v>1</v>
      </c>
      <c r="AR7" s="9">
        <f t="shared" ref="AR7:AR12" si="30">$U7 * (1 - $U7)</f>
        <v>0.23768716006566898</v>
      </c>
      <c r="AS7" s="9">
        <f t="shared" si="19"/>
        <v>-4.4321282931241699</v>
      </c>
      <c r="AT7" s="9">
        <f t="shared" si="20"/>
        <v>0.22487013186370802</v>
      </c>
      <c r="AU7" s="10">
        <f t="shared" si="21"/>
        <v>0.68295193969183787</v>
      </c>
      <c r="AW7" s="8">
        <f t="shared" si="22"/>
        <v>-5.1477248004720109E-2</v>
      </c>
      <c r="AX7" s="9">
        <f t="shared" si="23"/>
        <v>0.31818181818181818</v>
      </c>
      <c r="AY7" s="9">
        <f t="shared" ref="AY7:AY12" si="31">$U7 * (1 - $U7)</f>
        <v>0.23768716006566898</v>
      </c>
      <c r="AZ7" s="9">
        <f t="shared" si="24"/>
        <v>-4.4321282931241699</v>
      </c>
      <c r="BA7" s="9">
        <f t="shared" si="25"/>
        <v>0.22487013186370802</v>
      </c>
      <c r="BB7" s="10">
        <f t="shared" si="26"/>
        <v>0.68295193969183787</v>
      </c>
      <c r="BD7" s="9"/>
      <c r="BE7" s="9"/>
      <c r="BF7" s="9"/>
      <c r="BG7" s="9"/>
      <c r="BH7" s="9"/>
      <c r="BI7" s="9"/>
      <c r="BJ7" s="6"/>
      <c r="BK7" s="6"/>
    </row>
    <row r="8" spans="3:63" x14ac:dyDescent="0.35">
      <c r="C8" s="48">
        <v>23</v>
      </c>
      <c r="D8" s="49">
        <v>45</v>
      </c>
      <c r="E8" s="49">
        <v>0</v>
      </c>
      <c r="F8" s="49"/>
      <c r="G8" s="54">
        <f t="shared" si="0"/>
        <v>0.34848484848484851</v>
      </c>
      <c r="H8" s="54">
        <f t="shared" si="1"/>
        <v>0.81818181818181823</v>
      </c>
      <c r="I8" s="52">
        <f t="shared" si="2"/>
        <v>0</v>
      </c>
      <c r="K8" s="8">
        <f t="shared" ref="K8:K12" si="32">T8</f>
        <v>0.18889682037356018</v>
      </c>
      <c r="L8" s="6"/>
      <c r="M8" s="10">
        <f t="shared" si="3"/>
        <v>9.0923896106788082E-2</v>
      </c>
      <c r="O8" s="15" t="s">
        <v>7</v>
      </c>
      <c r="P8" s="34">
        <v>0.36854225903286753</v>
      </c>
      <c r="R8" s="8">
        <f t="shared" si="4"/>
        <v>-1.4571943291702181</v>
      </c>
      <c r="S8" s="9">
        <f t="shared" si="5"/>
        <v>1.3344127116573288</v>
      </c>
      <c r="T8" s="9">
        <f>1/(1+ EXP(-R8))</f>
        <v>0.18889682037356018</v>
      </c>
      <c r="U8" s="10">
        <f t="shared" si="28"/>
        <v>0.79156961228520306</v>
      </c>
      <c r="W8" s="3"/>
      <c r="X8" s="8">
        <f t="shared" si="6"/>
        <v>4.5818884166181184E-2</v>
      </c>
      <c r="Y8" s="9">
        <f t="shared" si="7"/>
        <v>0.79156961228520306</v>
      </c>
      <c r="Z8" s="9">
        <f t="shared" si="8"/>
        <v>0.15321481162631911</v>
      </c>
      <c r="AA8" s="10">
        <f t="shared" si="9"/>
        <v>0.37779364074712035</v>
      </c>
      <c r="AC8" s="8">
        <f t="shared" si="10"/>
        <v>5.7883581500691325E-2</v>
      </c>
      <c r="AD8" s="9">
        <v>1</v>
      </c>
      <c r="AE8" s="9">
        <f t="shared" si="11"/>
        <v>0.15321481162631911</v>
      </c>
      <c r="AF8" s="10">
        <f t="shared" si="12"/>
        <v>0.37779364074712035</v>
      </c>
      <c r="AG8" s="3"/>
      <c r="AI8" s="8">
        <f t="shared" si="13"/>
        <v>-3.4631212104838743E-2</v>
      </c>
      <c r="AJ8" s="9">
        <f t="shared" si="14"/>
        <v>0.81818181818181823</v>
      </c>
      <c r="AK8" s="9">
        <f t="shared" si="29"/>
        <v>0.16498716119185636</v>
      </c>
      <c r="AL8" s="9">
        <f t="shared" si="15"/>
        <v>-4.4321282931241699</v>
      </c>
      <c r="AM8" s="9">
        <f t="shared" si="16"/>
        <v>0.15321481162631911</v>
      </c>
      <c r="AN8" s="10">
        <f t="shared" si="17"/>
        <v>0.37779364074712035</v>
      </c>
      <c r="AP8" s="8">
        <f t="shared" si="18"/>
        <v>-4.2327037017025122E-2</v>
      </c>
      <c r="AQ8" s="9">
        <v>1</v>
      </c>
      <c r="AR8" s="9">
        <f t="shared" si="30"/>
        <v>0.16498716119185636</v>
      </c>
      <c r="AS8" s="9">
        <f t="shared" si="19"/>
        <v>-4.4321282931241699</v>
      </c>
      <c r="AT8" s="9">
        <f t="shared" si="20"/>
        <v>0.15321481162631911</v>
      </c>
      <c r="AU8" s="10">
        <f t="shared" si="21"/>
        <v>0.37779364074712035</v>
      </c>
      <c r="AW8" s="8">
        <f t="shared" si="22"/>
        <v>-1.4750331081690573E-2</v>
      </c>
      <c r="AX8" s="9">
        <f t="shared" si="23"/>
        <v>0.34848484848484851</v>
      </c>
      <c r="AY8" s="9">
        <f t="shared" si="31"/>
        <v>0.16498716119185636</v>
      </c>
      <c r="AZ8" s="9">
        <f t="shared" si="24"/>
        <v>-4.4321282931241699</v>
      </c>
      <c r="BA8" s="9">
        <f t="shared" si="25"/>
        <v>0.15321481162631911</v>
      </c>
      <c r="BB8" s="10">
        <f t="shared" si="26"/>
        <v>0.37779364074712035</v>
      </c>
      <c r="BD8" s="9"/>
      <c r="BE8" s="9"/>
      <c r="BF8" s="9"/>
      <c r="BG8" s="9"/>
      <c r="BH8" s="9"/>
      <c r="BI8" s="9"/>
      <c r="BJ8" s="6"/>
      <c r="BK8" s="6"/>
    </row>
    <row r="9" spans="3:63" x14ac:dyDescent="0.35">
      <c r="C9" s="48">
        <v>44</v>
      </c>
      <c r="D9" s="49">
        <v>11</v>
      </c>
      <c r="E9" s="49">
        <v>1</v>
      </c>
      <c r="F9" s="49"/>
      <c r="G9" s="54">
        <f t="shared" si="0"/>
        <v>0.66666666666666663</v>
      </c>
      <c r="H9" s="54">
        <f t="shared" si="1"/>
        <v>0.2</v>
      </c>
      <c r="I9" s="52">
        <f t="shared" si="2"/>
        <v>1</v>
      </c>
      <c r="K9" s="8">
        <f t="shared" si="32"/>
        <v>0.74993722930016105</v>
      </c>
      <c r="L9" s="6"/>
      <c r="M9" s="10">
        <f t="shared" si="3"/>
        <v>0.12497508608752969</v>
      </c>
      <c r="O9" s="15" t="s">
        <v>8</v>
      </c>
      <c r="P9" s="34">
        <v>2.0511437454163599</v>
      </c>
      <c r="R9" s="8">
        <f t="shared" si="4"/>
        <v>1.098277539615752</v>
      </c>
      <c r="S9" s="9">
        <f t="shared" si="5"/>
        <v>-1.2951010052674057</v>
      </c>
      <c r="T9" s="9">
        <f t="shared" si="27"/>
        <v>0.74993722930016105</v>
      </c>
      <c r="U9" s="10">
        <f t="shared" si="28"/>
        <v>0.21499066425465324</v>
      </c>
      <c r="W9" s="3"/>
      <c r="X9" s="8">
        <f t="shared" si="6"/>
        <v>-2.01638096438501E-2</v>
      </c>
      <c r="Y9" s="9">
        <f t="shared" si="7"/>
        <v>0.21499066425465324</v>
      </c>
      <c r="Z9" s="9">
        <f t="shared" si="8"/>
        <v>0.18753138140975872</v>
      </c>
      <c r="AA9" s="10">
        <f t="shared" si="9"/>
        <v>-0.50012554139967791</v>
      </c>
      <c r="AC9" s="8">
        <f t="shared" si="10"/>
        <v>-9.3789233656985077E-2</v>
      </c>
      <c r="AD9" s="9">
        <v>1</v>
      </c>
      <c r="AE9" s="9">
        <f t="shared" si="11"/>
        <v>0.18753138140975872</v>
      </c>
      <c r="AF9" s="10">
        <f t="shared" si="12"/>
        <v>-0.50012554139967791</v>
      </c>
      <c r="AG9" s="3"/>
      <c r="AI9" s="8">
        <f t="shared" si="13"/>
        <v>1.4031035685971374E-2</v>
      </c>
      <c r="AJ9" s="9">
        <f t="shared" si="14"/>
        <v>0.2</v>
      </c>
      <c r="AK9" s="9">
        <f t="shared" si="29"/>
        <v>0.16876967853799618</v>
      </c>
      <c r="AL9" s="9">
        <f t="shared" si="15"/>
        <v>-4.4321282931241699</v>
      </c>
      <c r="AM9" s="9">
        <f t="shared" si="16"/>
        <v>0.18753138140975872</v>
      </c>
      <c r="AN9" s="10">
        <f t="shared" si="17"/>
        <v>-0.50012554139967791</v>
      </c>
      <c r="AP9" s="8">
        <f t="shared" si="18"/>
        <v>7.0155178429856871E-2</v>
      </c>
      <c r="AQ9" s="9">
        <v>1</v>
      </c>
      <c r="AR9" s="9">
        <f t="shared" si="30"/>
        <v>0.16876967853799618</v>
      </c>
      <c r="AS9" s="9">
        <f t="shared" si="19"/>
        <v>-4.4321282931241699</v>
      </c>
      <c r="AT9" s="9">
        <f t="shared" si="20"/>
        <v>0.18753138140975872</v>
      </c>
      <c r="AU9" s="10">
        <f t="shared" si="21"/>
        <v>-0.50012554139967791</v>
      </c>
      <c r="AW9" s="8">
        <f t="shared" si="22"/>
        <v>4.6770118953237912E-2</v>
      </c>
      <c r="AX9" s="9">
        <f t="shared" si="23"/>
        <v>0.66666666666666663</v>
      </c>
      <c r="AY9" s="9">
        <f t="shared" si="31"/>
        <v>0.16876967853799618</v>
      </c>
      <c r="AZ9" s="9">
        <f t="shared" si="24"/>
        <v>-4.4321282931241699</v>
      </c>
      <c r="BA9" s="9">
        <f t="shared" si="25"/>
        <v>0.18753138140975872</v>
      </c>
      <c r="BB9" s="10">
        <f t="shared" si="26"/>
        <v>-0.50012554139967791</v>
      </c>
      <c r="BD9" s="9"/>
      <c r="BE9" s="9"/>
      <c r="BF9" s="9"/>
      <c r="BG9" s="9"/>
      <c r="BH9" s="9"/>
      <c r="BI9" s="9"/>
      <c r="BJ9" s="6"/>
      <c r="BK9" s="6"/>
    </row>
    <row r="10" spans="3:63" ht="15" thickBot="1" x14ac:dyDescent="0.4">
      <c r="C10" s="48">
        <v>66</v>
      </c>
      <c r="D10" s="49">
        <v>21</v>
      </c>
      <c r="E10" s="49">
        <v>1</v>
      </c>
      <c r="F10" s="49"/>
      <c r="G10" s="54">
        <f t="shared" si="0"/>
        <v>1</v>
      </c>
      <c r="H10" s="54">
        <f t="shared" si="1"/>
        <v>0.38181818181818183</v>
      </c>
      <c r="I10" s="52">
        <f t="shared" si="2"/>
        <v>1</v>
      </c>
      <c r="K10" s="8">
        <f t="shared" si="32"/>
        <v>0.81498070363086339</v>
      </c>
      <c r="L10" s="6"/>
      <c r="M10" s="10">
        <f t="shared" si="3"/>
        <v>8.8852673966583681E-2</v>
      </c>
      <c r="O10" s="16"/>
      <c r="P10" s="33"/>
      <c r="R10" s="8">
        <f t="shared" si="4"/>
        <v>1.4827043120970176</v>
      </c>
      <c r="S10" s="9">
        <f t="shared" si="5"/>
        <v>-1.9164828994472345</v>
      </c>
      <c r="T10" s="9">
        <f t="shared" si="27"/>
        <v>0.81498070363086339</v>
      </c>
      <c r="U10" s="10">
        <f t="shared" si="28"/>
        <v>0.12825428230522951</v>
      </c>
      <c r="W10" s="3"/>
      <c r="X10" s="8">
        <f t="shared" si="6"/>
        <v>-7.1562128001535627E-3</v>
      </c>
      <c r="Y10" s="9">
        <f t="shared" si="7"/>
        <v>0.12825428230522951</v>
      </c>
      <c r="Z10" s="9">
        <f t="shared" si="8"/>
        <v>0.1507871563402062</v>
      </c>
      <c r="AA10" s="10">
        <f t="shared" si="9"/>
        <v>-0.37003859273827322</v>
      </c>
      <c r="AC10" s="8">
        <f t="shared" si="10"/>
        <v>-5.5797067135135894E-2</v>
      </c>
      <c r="AD10" s="9">
        <v>1</v>
      </c>
      <c r="AE10" s="9">
        <f t="shared" si="11"/>
        <v>0.1507871563402062</v>
      </c>
      <c r="AF10" s="10">
        <f t="shared" si="12"/>
        <v>-0.37003859273827322</v>
      </c>
      <c r="AG10" s="3"/>
      <c r="AI10" s="8">
        <f t="shared" si="13"/>
        <v>1.0557035875659393E-2</v>
      </c>
      <c r="AJ10" s="9">
        <f t="shared" si="14"/>
        <v>0.38181818181818183</v>
      </c>
      <c r="AK10" s="9">
        <f t="shared" si="29"/>
        <v>0.1118051213756</v>
      </c>
      <c r="AL10" s="9">
        <f t="shared" si="15"/>
        <v>-4.4321282931241699</v>
      </c>
      <c r="AM10" s="9">
        <f t="shared" si="16"/>
        <v>0.1507871563402062</v>
      </c>
      <c r="AN10" s="10">
        <f t="shared" si="17"/>
        <v>-0.37003859273827322</v>
      </c>
      <c r="AP10" s="8">
        <f t="shared" si="18"/>
        <v>2.7649379674346032E-2</v>
      </c>
      <c r="AQ10" s="9">
        <v>1</v>
      </c>
      <c r="AR10" s="9">
        <f t="shared" si="30"/>
        <v>0.1118051213756</v>
      </c>
      <c r="AS10" s="9">
        <f t="shared" si="19"/>
        <v>-4.4321282931241699</v>
      </c>
      <c r="AT10" s="9">
        <f t="shared" si="20"/>
        <v>0.1507871563402062</v>
      </c>
      <c r="AU10" s="10">
        <f t="shared" si="21"/>
        <v>-0.37003859273827322</v>
      </c>
      <c r="AW10" s="8">
        <f t="shared" si="22"/>
        <v>2.7649379674346032E-2</v>
      </c>
      <c r="AX10" s="9">
        <f t="shared" si="23"/>
        <v>1</v>
      </c>
      <c r="AY10" s="9">
        <f t="shared" si="31"/>
        <v>0.1118051213756</v>
      </c>
      <c r="AZ10" s="9">
        <f t="shared" si="24"/>
        <v>-4.4321282931241699</v>
      </c>
      <c r="BA10" s="9">
        <f t="shared" si="25"/>
        <v>0.1507871563402062</v>
      </c>
      <c r="BB10" s="10">
        <f t="shared" si="26"/>
        <v>-0.37003859273827322</v>
      </c>
      <c r="BD10" s="9"/>
      <c r="BE10" s="9"/>
      <c r="BF10" s="9"/>
      <c r="BG10" s="9"/>
      <c r="BH10" s="9"/>
      <c r="BI10" s="9"/>
      <c r="BJ10" s="6"/>
      <c r="BK10" s="6"/>
    </row>
    <row r="11" spans="3:63" ht="15" thickBot="1" x14ac:dyDescent="0.4">
      <c r="C11" s="48">
        <v>45</v>
      </c>
      <c r="D11" s="49">
        <v>23</v>
      </c>
      <c r="E11" s="49">
        <v>1</v>
      </c>
      <c r="F11" s="49"/>
      <c r="G11" s="54">
        <f t="shared" si="0"/>
        <v>0.68181818181818177</v>
      </c>
      <c r="H11" s="54">
        <f t="shared" si="1"/>
        <v>0.41818181818181815</v>
      </c>
      <c r="I11" s="52">
        <f t="shared" si="2"/>
        <v>1</v>
      </c>
      <c r="K11" s="8">
        <f t="shared" si="32"/>
        <v>0.65955495545087073</v>
      </c>
      <c r="L11" s="6"/>
      <c r="M11" s="10">
        <f t="shared" si="3"/>
        <v>0.18074901231667728</v>
      </c>
      <c r="R11" s="8">
        <f t="shared" si="4"/>
        <v>0.66131158141606616</v>
      </c>
      <c r="S11" s="9">
        <f t="shared" si="5"/>
        <v>-0.78342954142246679</v>
      </c>
      <c r="T11" s="9">
        <f t="shared" si="27"/>
        <v>0.65955495545087073</v>
      </c>
      <c r="U11" s="10">
        <f t="shared" si="28"/>
        <v>0.31358121247447301</v>
      </c>
      <c r="W11" s="3"/>
      <c r="X11" s="8">
        <f t="shared" si="6"/>
        <v>-4.7942983025099382E-2</v>
      </c>
      <c r="Y11" s="9">
        <f t="shared" si="7"/>
        <v>0.31358121247447301</v>
      </c>
      <c r="Z11" s="9">
        <f t="shared" si="8"/>
        <v>0.22454221619107065</v>
      </c>
      <c r="AA11" s="10">
        <f t="shared" si="9"/>
        <v>-0.68089008909825854</v>
      </c>
      <c r="AC11" s="8">
        <f t="shared" si="10"/>
        <v>-0.15288856958865851</v>
      </c>
      <c r="AD11" s="9">
        <v>1</v>
      </c>
      <c r="AE11" s="9">
        <f t="shared" si="11"/>
        <v>0.22454221619107065</v>
      </c>
      <c r="AF11" s="10">
        <f t="shared" si="12"/>
        <v>-0.68089008909825854</v>
      </c>
      <c r="AG11" s="3"/>
      <c r="AI11" s="8">
        <f t="shared" si="13"/>
        <v>6.0994641609926646E-2</v>
      </c>
      <c r="AJ11" s="9">
        <f t="shared" si="14"/>
        <v>0.41818181818181815</v>
      </c>
      <c r="AK11" s="9">
        <f t="shared" si="29"/>
        <v>0.21524803565751244</v>
      </c>
      <c r="AL11" s="9">
        <f t="shared" si="15"/>
        <v>-4.4321282931241699</v>
      </c>
      <c r="AM11" s="9">
        <f t="shared" si="16"/>
        <v>0.22454221619107065</v>
      </c>
      <c r="AN11" s="10">
        <f t="shared" si="17"/>
        <v>-0.68089008909825854</v>
      </c>
      <c r="AP11" s="8">
        <f t="shared" si="18"/>
        <v>0.14585675167591156</v>
      </c>
      <c r="AQ11" s="9">
        <v>1</v>
      </c>
      <c r="AR11" s="9">
        <f t="shared" si="30"/>
        <v>0.21524803565751244</v>
      </c>
      <c r="AS11" s="9">
        <f t="shared" si="19"/>
        <v>-4.4321282931241699</v>
      </c>
      <c r="AT11" s="9">
        <f t="shared" si="20"/>
        <v>0.22454221619107065</v>
      </c>
      <c r="AU11" s="10">
        <f t="shared" si="21"/>
        <v>-0.68089008909825854</v>
      </c>
      <c r="AW11" s="8">
        <f t="shared" si="22"/>
        <v>9.9447785233576058E-2</v>
      </c>
      <c r="AX11" s="9">
        <f t="shared" si="23"/>
        <v>0.68181818181818177</v>
      </c>
      <c r="AY11" s="9">
        <f t="shared" si="31"/>
        <v>0.21524803565751244</v>
      </c>
      <c r="AZ11" s="9">
        <f t="shared" si="24"/>
        <v>-4.4321282931241699</v>
      </c>
      <c r="BA11" s="9">
        <f t="shared" si="25"/>
        <v>0.22454221619107065</v>
      </c>
      <c r="BB11" s="10">
        <f t="shared" si="26"/>
        <v>-0.68089008909825854</v>
      </c>
      <c r="BD11" s="9"/>
      <c r="BE11" s="9"/>
      <c r="BF11" s="9"/>
      <c r="BG11" s="9"/>
      <c r="BH11" s="9"/>
      <c r="BI11" s="9"/>
      <c r="BJ11" s="6"/>
      <c r="BK11" s="6"/>
    </row>
    <row r="12" spans="3:63" ht="15" thickBot="1" x14ac:dyDescent="0.4">
      <c r="C12" s="50">
        <v>34</v>
      </c>
      <c r="D12" s="51">
        <v>8</v>
      </c>
      <c r="E12" s="51">
        <v>1</v>
      </c>
      <c r="F12" s="51"/>
      <c r="G12" s="55">
        <f t="shared" si="0"/>
        <v>0.51515151515151514</v>
      </c>
      <c r="H12" s="55">
        <f t="shared" si="1"/>
        <v>0.14545454545454545</v>
      </c>
      <c r="I12" s="53">
        <f t="shared" si="2"/>
        <v>1</v>
      </c>
      <c r="K12" s="8">
        <f t="shared" si="32"/>
        <v>0.69136312374951203</v>
      </c>
      <c r="L12" s="6"/>
      <c r="M12" s="10">
        <f t="shared" si="3"/>
        <v>0.1602937887785765</v>
      </c>
      <c r="O12" s="60" t="s">
        <v>71</v>
      </c>
      <c r="P12" s="61">
        <v>1</v>
      </c>
      <c r="R12" s="56">
        <f t="shared" si="4"/>
        <v>0.80649976234804299</v>
      </c>
      <c r="S12" s="57">
        <f>(G12 * $P$5) + (H12 * $P$6) + $P$8</f>
        <v>-0.94038245648879215</v>
      </c>
      <c r="T12" s="57">
        <f t="shared" ref="T12" si="33">1/(1+ EXP(-R12))</f>
        <v>0.69136312374951203</v>
      </c>
      <c r="U12" s="38">
        <f t="shared" ref="U12" si="34">1/(1+ EXP(-S12))</f>
        <v>0.28082309462909927</v>
      </c>
      <c r="W12" s="3"/>
      <c r="X12" s="8">
        <f t="shared" si="6"/>
        <v>-3.6988324353817152E-2</v>
      </c>
      <c r="Y12" s="9">
        <f t="shared" si="7"/>
        <v>0.28082309462909927</v>
      </c>
      <c r="Z12" s="9">
        <f t="shared" si="8"/>
        <v>0.21338015486882894</v>
      </c>
      <c r="AA12" s="10">
        <f t="shared" si="9"/>
        <v>-0.61727375250097594</v>
      </c>
      <c r="AC12" s="8">
        <f t="shared" si="10"/>
        <v>-0.13171396890512144</v>
      </c>
      <c r="AD12" s="9">
        <v>1</v>
      </c>
      <c r="AE12" s="9">
        <f t="shared" si="11"/>
        <v>0.21338015486882894</v>
      </c>
      <c r="AF12" s="10">
        <f t="shared" si="12"/>
        <v>-0.61727375250097594</v>
      </c>
      <c r="AG12" s="3"/>
      <c r="AI12" s="8">
        <f t="shared" si="13"/>
        <v>1.7149047786625304E-2</v>
      </c>
      <c r="AJ12" s="9">
        <f t="shared" si="14"/>
        <v>0.14545454545454545</v>
      </c>
      <c r="AK12" s="9">
        <f t="shared" si="29"/>
        <v>0.20196148415203521</v>
      </c>
      <c r="AL12" s="9">
        <f t="shared" si="15"/>
        <v>-4.4321282931241699</v>
      </c>
      <c r="AM12" s="9">
        <f t="shared" si="16"/>
        <v>0.21338015486882894</v>
      </c>
      <c r="AN12" s="10">
        <f t="shared" si="17"/>
        <v>-0.61727375250097594</v>
      </c>
      <c r="AP12" s="8">
        <f t="shared" si="18"/>
        <v>0.11789970353304897</v>
      </c>
      <c r="AQ12" s="9">
        <v>1</v>
      </c>
      <c r="AR12" s="9">
        <f t="shared" si="30"/>
        <v>0.20196148415203521</v>
      </c>
      <c r="AS12" s="9">
        <f t="shared" si="19"/>
        <v>-4.4321282931241699</v>
      </c>
      <c r="AT12" s="9">
        <f t="shared" si="20"/>
        <v>0.21338015486882894</v>
      </c>
      <c r="AU12" s="10">
        <f t="shared" si="21"/>
        <v>-0.61727375250097594</v>
      </c>
      <c r="AW12" s="8">
        <f t="shared" si="22"/>
        <v>6.0736210910964622E-2</v>
      </c>
      <c r="AX12" s="9">
        <f t="shared" si="23"/>
        <v>0.51515151515151514</v>
      </c>
      <c r="AY12" s="9">
        <f t="shared" si="31"/>
        <v>0.20196148415203521</v>
      </c>
      <c r="AZ12" s="9">
        <f t="shared" si="24"/>
        <v>-4.4321282931241699</v>
      </c>
      <c r="BA12" s="9">
        <f t="shared" si="25"/>
        <v>0.21338015486882894</v>
      </c>
      <c r="BB12" s="10">
        <f t="shared" si="26"/>
        <v>-0.61727375250097594</v>
      </c>
      <c r="BD12" s="9"/>
      <c r="BE12" s="9"/>
      <c r="BF12" s="9"/>
      <c r="BG12" s="9"/>
      <c r="BH12" s="9"/>
      <c r="BI12" s="9"/>
      <c r="BJ12" s="6"/>
      <c r="BK12" s="6"/>
    </row>
    <row r="13" spans="3:63" ht="15" thickBot="1" x14ac:dyDescent="0.4">
      <c r="K13" s="5"/>
      <c r="L13" s="6"/>
      <c r="M13" s="10"/>
      <c r="O13" s="62" t="s">
        <v>70</v>
      </c>
      <c r="P13" s="63"/>
      <c r="X13" s="5"/>
      <c r="Y13" s="6"/>
      <c r="Z13" s="6"/>
      <c r="AA13" s="7"/>
      <c r="AC13" s="5"/>
      <c r="AD13" s="6"/>
      <c r="AE13" s="6"/>
      <c r="AF13" s="7"/>
      <c r="AI13" s="5"/>
      <c r="AJ13" s="6"/>
      <c r="AK13" s="6"/>
      <c r="AL13" s="6"/>
      <c r="AM13" s="6"/>
      <c r="AN13" s="7"/>
      <c r="AP13" s="5"/>
      <c r="AQ13" s="6"/>
      <c r="AR13" s="6"/>
      <c r="AS13" s="6"/>
      <c r="AT13" s="6"/>
      <c r="AU13" s="7"/>
      <c r="AW13" s="5"/>
      <c r="AX13" s="6"/>
      <c r="AY13" s="6"/>
      <c r="AZ13" s="6"/>
      <c r="BA13" s="6"/>
      <c r="BB13" s="7"/>
      <c r="BD13" s="6"/>
      <c r="BE13" s="6"/>
      <c r="BF13" s="6"/>
      <c r="BG13" s="6"/>
      <c r="BH13" s="6"/>
      <c r="BI13" s="6"/>
      <c r="BJ13" s="6"/>
      <c r="BK13" s="6"/>
    </row>
    <row r="14" spans="3:63" ht="15" thickBot="1" x14ac:dyDescent="0.4">
      <c r="K14" s="37"/>
      <c r="L14" s="13" t="s">
        <v>16</v>
      </c>
      <c r="M14" s="38">
        <f>SUM(M5:M12)</f>
        <v>1.106073808180684</v>
      </c>
      <c r="W14" s="3" t="s">
        <v>49</v>
      </c>
      <c r="X14" s="11" t="s">
        <v>48</v>
      </c>
      <c r="Y14" s="73">
        <f>SUM(X5:X12)</f>
        <v>0.16186467664566626</v>
      </c>
      <c r="Z14" s="13" t="s">
        <v>76</v>
      </c>
      <c r="AA14" s="74">
        <f>P7-(Y14*P12)</f>
        <v>-4.5939929697698361</v>
      </c>
      <c r="AB14" s="4"/>
      <c r="AC14" s="11" t="s">
        <v>48</v>
      </c>
      <c r="AD14" s="73">
        <f>SUM(AC5:AC12)</f>
        <v>-4.7343509044608656E-3</v>
      </c>
      <c r="AE14" s="72" t="s">
        <v>75</v>
      </c>
      <c r="AF14" s="74">
        <f>P9-(AD14*P12)</f>
        <v>2.055878096320821</v>
      </c>
      <c r="AG14" s="4"/>
      <c r="AH14" s="4"/>
      <c r="AI14" s="11" t="s">
        <v>48</v>
      </c>
      <c r="AJ14" s="73">
        <f>SUM(AI5:AI12)</f>
        <v>-0.14358598652338234</v>
      </c>
      <c r="AK14" s="13"/>
      <c r="AL14" s="13"/>
      <c r="AM14" s="72" t="s">
        <v>74</v>
      </c>
      <c r="AN14" s="74">
        <f>P6-(AJ14*P12)</f>
        <v>2.7156272283827003</v>
      </c>
      <c r="AO14" s="4"/>
      <c r="AP14" s="11" t="s">
        <v>48</v>
      </c>
      <c r="AQ14" s="73">
        <f>SUM(AP5:AP12)</f>
        <v>-5.9335551115751325E-2</v>
      </c>
      <c r="AR14" s="13"/>
      <c r="AS14" s="13"/>
      <c r="AT14" s="72" t="s">
        <v>77</v>
      </c>
      <c r="AU14" s="74">
        <f>P8-(P12*AQ14)</f>
        <v>0.42787781014861886</v>
      </c>
      <c r="AV14" s="4"/>
      <c r="AW14" s="11" t="s">
        <v>48</v>
      </c>
      <c r="AX14" s="73">
        <f>SUM(AW5:AW12)</f>
        <v>6.0069512009987197E-2</v>
      </c>
      <c r="AY14" s="13"/>
      <c r="AZ14" s="13"/>
      <c r="BA14" s="72" t="s">
        <v>78</v>
      </c>
      <c r="BB14" s="74">
        <f>P5-(P12*AX14)</f>
        <v>-3.3271467810181927</v>
      </c>
      <c r="BC14" s="4"/>
      <c r="BD14" s="65"/>
      <c r="BE14" s="65"/>
      <c r="BF14" s="6"/>
      <c r="BG14" s="6"/>
      <c r="BH14" s="6"/>
      <c r="BI14" s="65"/>
      <c r="BJ14" s="6"/>
      <c r="BK14" s="6"/>
    </row>
    <row r="15" spans="3:63" x14ac:dyDescent="0.35">
      <c r="BD15" s="6"/>
      <c r="BE15" s="6"/>
      <c r="BF15" s="6"/>
      <c r="BG15" s="6"/>
      <c r="BH15" s="6"/>
      <c r="BI15" s="6"/>
      <c r="BJ15" s="6"/>
      <c r="BK15" s="6"/>
    </row>
    <row r="16" spans="3:63" x14ac:dyDescent="0.35">
      <c r="M16" s="2"/>
    </row>
    <row r="17" spans="3:51" x14ac:dyDescent="0.35">
      <c r="M17" s="2"/>
      <c r="X17" t="s">
        <v>27</v>
      </c>
      <c r="Y17" t="s">
        <v>20</v>
      </c>
      <c r="AC17" t="s">
        <v>79</v>
      </c>
      <c r="AD17" t="s">
        <v>20</v>
      </c>
      <c r="AW17" t="s">
        <v>30</v>
      </c>
      <c r="AX17" t="s">
        <v>20</v>
      </c>
    </row>
    <row r="18" spans="3:51" x14ac:dyDescent="0.35">
      <c r="AI18" t="s">
        <v>29</v>
      </c>
      <c r="AJ18" t="s">
        <v>20</v>
      </c>
      <c r="AP18" t="s">
        <v>81</v>
      </c>
      <c r="AQ18" t="s">
        <v>20</v>
      </c>
    </row>
    <row r="19" spans="3:51" x14ac:dyDescent="0.35">
      <c r="M19" s="2"/>
    </row>
    <row r="20" spans="3:51" x14ac:dyDescent="0.35">
      <c r="M20" s="2"/>
    </row>
    <row r="21" spans="3:51" x14ac:dyDescent="0.35">
      <c r="M21" s="2"/>
    </row>
    <row r="22" spans="3:51" x14ac:dyDescent="0.35">
      <c r="M22" s="2"/>
      <c r="X22" t="s">
        <v>28</v>
      </c>
      <c r="Y22" t="s">
        <v>20</v>
      </c>
    </row>
    <row r="23" spans="3:51" x14ac:dyDescent="0.35">
      <c r="M23" s="2"/>
      <c r="AC23" t="s">
        <v>80</v>
      </c>
      <c r="AD23" t="s">
        <v>20</v>
      </c>
      <c r="AJ23" t="s">
        <v>36</v>
      </c>
      <c r="AK23" t="s">
        <v>20</v>
      </c>
      <c r="AQ23" t="s">
        <v>37</v>
      </c>
      <c r="AR23" t="s">
        <v>20</v>
      </c>
      <c r="AX23" t="s">
        <v>38</v>
      </c>
      <c r="AY23" t="s">
        <v>20</v>
      </c>
    </row>
    <row r="24" spans="3:51" x14ac:dyDescent="0.35">
      <c r="M24" s="2"/>
    </row>
    <row r="26" spans="3:51" x14ac:dyDescent="0.35">
      <c r="M26" s="2"/>
    </row>
    <row r="27" spans="3:51" x14ac:dyDescent="0.35">
      <c r="M27" s="2"/>
      <c r="X27" t="s">
        <v>24</v>
      </c>
      <c r="Y27" t="s">
        <v>20</v>
      </c>
    </row>
    <row r="28" spans="3:51" x14ac:dyDescent="0.35">
      <c r="AJ28" t="s">
        <v>35</v>
      </c>
      <c r="AK28" t="s">
        <v>20</v>
      </c>
    </row>
    <row r="29" spans="3:51" x14ac:dyDescent="0.35">
      <c r="M29" s="2"/>
    </row>
    <row r="30" spans="3:51" x14ac:dyDescent="0.35">
      <c r="M30" s="2"/>
    </row>
    <row r="32" spans="3:51" x14ac:dyDescent="0.35">
      <c r="C32" t="s">
        <v>20</v>
      </c>
      <c r="X32" t="s">
        <v>25</v>
      </c>
      <c r="Y32" t="s">
        <v>20</v>
      </c>
    </row>
    <row r="33" spans="3:37" x14ac:dyDescent="0.35">
      <c r="AJ33" t="s">
        <v>34</v>
      </c>
      <c r="AK33" t="s">
        <v>20</v>
      </c>
    </row>
    <row r="39" spans="3:37" x14ac:dyDescent="0.35">
      <c r="C39" t="s">
        <v>20</v>
      </c>
    </row>
    <row r="44" spans="3:37" x14ac:dyDescent="0.35">
      <c r="C44" t="s">
        <v>20</v>
      </c>
    </row>
    <row r="47" spans="3:37" x14ac:dyDescent="0.35">
      <c r="X47" s="3"/>
    </row>
    <row r="49" spans="3:61" x14ac:dyDescent="0.35">
      <c r="C49" t="s">
        <v>20</v>
      </c>
    </row>
    <row r="50" spans="3:61" x14ac:dyDescent="0.35">
      <c r="X50" s="35"/>
      <c r="Y50" s="35"/>
      <c r="Z50" s="35"/>
      <c r="AA50" s="35"/>
      <c r="AC50" s="35"/>
      <c r="AD50" s="35"/>
      <c r="AE50" s="35"/>
      <c r="AF50" s="35"/>
      <c r="AI50" s="35"/>
      <c r="AJ50" s="35"/>
      <c r="AK50" s="35"/>
      <c r="AL50" s="35"/>
      <c r="AM50" s="35"/>
      <c r="AN50" s="35"/>
      <c r="AP50" s="35"/>
      <c r="AQ50" s="35"/>
      <c r="AR50" s="35"/>
      <c r="AS50" s="35"/>
      <c r="AT50" s="35"/>
      <c r="AU50" s="35"/>
      <c r="AW50" s="35"/>
      <c r="AX50" s="35"/>
      <c r="AY50" s="35"/>
      <c r="AZ50" s="35"/>
      <c r="BA50" s="35"/>
      <c r="BB50" s="35"/>
      <c r="BD50" s="35"/>
      <c r="BE50" s="35"/>
      <c r="BF50" s="35"/>
      <c r="BG50" s="35"/>
      <c r="BH50" s="35"/>
      <c r="BI50" s="35"/>
    </row>
    <row r="54" spans="3:61" x14ac:dyDescent="0.35">
      <c r="C54" t="s">
        <v>20</v>
      </c>
    </row>
    <row r="59" spans="3:61" x14ac:dyDescent="0.35">
      <c r="C59" t="s">
        <v>20</v>
      </c>
    </row>
    <row r="96" ht="15" thickBot="1" x14ac:dyDescent="0.4"/>
    <row r="97" spans="2:24" x14ac:dyDescent="0.35">
      <c r="B97" s="84" t="s">
        <v>61</v>
      </c>
      <c r="C97" s="85"/>
      <c r="D97" s="86"/>
      <c r="F97" s="39" t="s">
        <v>65</v>
      </c>
      <c r="G97" s="40"/>
      <c r="H97" s="41" t="s">
        <v>64</v>
      </c>
      <c r="J97" s="4" t="s">
        <v>66</v>
      </c>
    </row>
    <row r="98" spans="2:24" x14ac:dyDescent="0.35">
      <c r="B98" s="36" t="s">
        <v>62</v>
      </c>
      <c r="C98" s="6"/>
      <c r="D98" s="10">
        <f ca="1">RAND()*($B$102-$B$99)+$B$99</f>
        <v>-1.3555599200349908</v>
      </c>
      <c r="F98" s="42">
        <v>1.68</v>
      </c>
      <c r="G98" s="6"/>
      <c r="H98" s="10">
        <v>-0.4</v>
      </c>
      <c r="J98">
        <v>-3.8071492300135543</v>
      </c>
    </row>
    <row r="99" spans="2:24" x14ac:dyDescent="0.35">
      <c r="B99" s="36">
        <v>-2</v>
      </c>
      <c r="C99" s="6"/>
      <c r="D99" s="10">
        <f ca="1">RAND()*($B$102-$B$99)+$B$99</f>
        <v>1.2498987019162953</v>
      </c>
      <c r="F99" s="42">
        <v>1.1499999999999999</v>
      </c>
      <c r="G99" s="6"/>
      <c r="H99" s="10">
        <v>-1.8</v>
      </c>
      <c r="J99">
        <v>3.8345916339822104</v>
      </c>
    </row>
    <row r="100" spans="2:24" x14ac:dyDescent="0.35">
      <c r="B100" s="36"/>
      <c r="C100" s="6"/>
      <c r="D100" s="10">
        <f t="shared" ref="D100:D102" ca="1" si="35">RAND()*($B$102-$B$99)+$B$99</f>
        <v>-0.26030994266080354</v>
      </c>
      <c r="F100" s="42">
        <v>0.26</v>
      </c>
      <c r="G100" s="6"/>
      <c r="H100" s="10">
        <v>-2</v>
      </c>
      <c r="J100">
        <v>-5.6550937976002702</v>
      </c>
    </row>
    <row r="101" spans="2:24" x14ac:dyDescent="0.35">
      <c r="B101" s="36" t="s">
        <v>63</v>
      </c>
      <c r="C101" s="6"/>
      <c r="D101" s="10">
        <f t="shared" ca="1" si="35"/>
        <v>1.7254578251256989</v>
      </c>
      <c r="F101" s="42">
        <v>0.39</v>
      </c>
      <c r="G101" s="6"/>
      <c r="H101" s="10">
        <v>1.8</v>
      </c>
      <c r="J101">
        <v>0.16955386845673706</v>
      </c>
    </row>
    <row r="102" spans="2:24" x14ac:dyDescent="0.35">
      <c r="B102" s="36">
        <f>2</f>
        <v>2</v>
      </c>
      <c r="C102" s="6"/>
      <c r="D102" s="10">
        <f t="shared" ca="1" si="35"/>
        <v>-0.66832448018286561</v>
      </c>
      <c r="F102" s="42">
        <v>-0.2</v>
      </c>
      <c r="G102" s="6"/>
      <c r="H102" s="10">
        <v>1.5</v>
      </c>
      <c r="J102">
        <v>2.6395929525871695</v>
      </c>
    </row>
    <row r="103" spans="2:24" ht="15" thickBot="1" x14ac:dyDescent="0.4">
      <c r="B103" s="37"/>
      <c r="C103" s="12"/>
      <c r="D103" s="38"/>
      <c r="F103" s="43"/>
      <c r="G103" s="12"/>
      <c r="H103" s="38"/>
    </row>
    <row r="107" spans="2:24" ht="15" thickBot="1" x14ac:dyDescent="0.4"/>
    <row r="108" spans="2:24" ht="21.5" thickBot="1" x14ac:dyDescent="0.55000000000000004">
      <c r="B108" s="81" t="s">
        <v>50</v>
      </c>
      <c r="C108" s="82"/>
      <c r="D108" s="82"/>
      <c r="E108" s="82"/>
      <c r="F108" s="82"/>
      <c r="G108" s="82"/>
      <c r="H108" s="82"/>
      <c r="I108" s="82"/>
      <c r="J108" s="82"/>
      <c r="K108" s="82"/>
      <c r="L108" s="82"/>
      <c r="M108" s="82"/>
      <c r="N108" s="82"/>
      <c r="O108" s="82"/>
      <c r="P108" s="82"/>
      <c r="Q108" s="82"/>
      <c r="R108" s="82"/>
      <c r="S108" s="82"/>
      <c r="T108" s="82"/>
      <c r="U108" s="82"/>
      <c r="V108" s="82"/>
      <c r="W108" s="82"/>
      <c r="X108" s="83"/>
    </row>
    <row r="109" spans="2:24" x14ac:dyDescent="0.35">
      <c r="B109" s="75" t="s">
        <v>2</v>
      </c>
      <c r="C109" s="20">
        <v>1</v>
      </c>
      <c r="D109" s="25">
        <f>1/(1+EXP(-D135))</f>
        <v>0.10353356017864142</v>
      </c>
      <c r="E109" s="24">
        <f t="shared" ref="E109:W110" si="36">1/(1+EXP(-E135))</f>
        <v>0.10703346476277625</v>
      </c>
      <c r="F109" s="24">
        <f t="shared" si="36"/>
        <v>0.11120526386385678</v>
      </c>
      <c r="G109" s="24">
        <f t="shared" si="36"/>
        <v>0.11618419794810531</v>
      </c>
      <c r="H109" s="24">
        <f t="shared" si="36"/>
        <v>0.12213338129449974</v>
      </c>
      <c r="I109" s="24">
        <f t="shared" si="36"/>
        <v>0.12924880587034449</v>
      </c>
      <c r="J109" s="24">
        <f t="shared" si="36"/>
        <v>0.13776440718886118</v>
      </c>
      <c r="K109" s="24">
        <f t="shared" si="36"/>
        <v>0.14795644751816261</v>
      </c>
      <c r="L109" s="24">
        <f t="shared" si="36"/>
        <v>0.16014590034507781</v>
      </c>
      <c r="M109" s="24">
        <f t="shared" si="36"/>
        <v>0.17469672206968095</v>
      </c>
      <c r="N109" s="24">
        <f t="shared" si="36"/>
        <v>0.19200692623397256</v>
      </c>
      <c r="O109" s="24">
        <f t="shared" si="36"/>
        <v>0.21248846825473622</v>
      </c>
      <c r="P109" s="24">
        <f t="shared" si="36"/>
        <v>0.23653165428014503</v>
      </c>
      <c r="Q109" s="24">
        <f t="shared" si="36"/>
        <v>0.2644510486440681</v>
      </c>
      <c r="R109" s="24">
        <f t="shared" si="36"/>
        <v>0.29641383196852339</v>
      </c>
      <c r="S109" s="24">
        <f t="shared" si="36"/>
        <v>0.33235893021876045</v>
      </c>
      <c r="T109" s="24">
        <f t="shared" si="36"/>
        <v>0.37192486439107453</v>
      </c>
      <c r="U109" s="24">
        <f t="shared" si="36"/>
        <v>0.41441200669819778</v>
      </c>
      <c r="V109" s="24">
        <f t="shared" si="36"/>
        <v>0.4588042302593614</v>
      </c>
      <c r="W109" s="24">
        <f t="shared" si="36"/>
        <v>0.50386092210133182</v>
      </c>
      <c r="X109" s="26">
        <f>1/(1+EXP(-X135))</f>
        <v>0.54826559577822198</v>
      </c>
    </row>
    <row r="110" spans="2:24" x14ac:dyDescent="0.35">
      <c r="B110" s="76"/>
      <c r="C110" s="17">
        <v>0.95</v>
      </c>
      <c r="D110" s="27">
        <f>1/(1+EXP(-D136))</f>
        <v>0.10623674544391308</v>
      </c>
      <c r="E110" s="23">
        <f t="shared" si="36"/>
        <v>0.11025513532605154</v>
      </c>
      <c r="F110" s="23">
        <f t="shared" si="36"/>
        <v>0.11504971782134062</v>
      </c>
      <c r="G110" s="23">
        <f t="shared" si="36"/>
        <v>0.12077726927689776</v>
      </c>
      <c r="H110" s="23">
        <f t="shared" si="36"/>
        <v>0.1276263569411161</v>
      </c>
      <c r="I110" s="23">
        <f t="shared" si="36"/>
        <v>0.13582243869261576</v>
      </c>
      <c r="J110" s="23">
        <f t="shared" si="36"/>
        <v>0.14563247895712522</v>
      </c>
      <c r="K110" s="23">
        <f t="shared" si="36"/>
        <v>0.15736790503727113</v>
      </c>
      <c r="L110" s="23">
        <f t="shared" si="36"/>
        <v>0.17138397780640674</v>
      </c>
      <c r="M110" s="23">
        <f t="shared" si="36"/>
        <v>0.18807270509995819</v>
      </c>
      <c r="N110" s="23">
        <f t="shared" si="36"/>
        <v>0.20784547189179842</v>
      </c>
      <c r="O110" s="23">
        <f t="shared" si="36"/>
        <v>0.23110107088774851</v>
      </c>
      <c r="P110" s="23">
        <f t="shared" si="36"/>
        <v>0.25817565105547458</v>
      </c>
      <c r="Q110" s="23">
        <f t="shared" si="36"/>
        <v>0.28927441183110963</v>
      </c>
      <c r="R110" s="23">
        <f t="shared" si="36"/>
        <v>0.32439152796775189</v>
      </c>
      <c r="S110" s="23">
        <f t="shared" si="36"/>
        <v>0.36323417421463194</v>
      </c>
      <c r="T110" s="23">
        <f t="shared" si="36"/>
        <v>0.40517516164869655</v>
      </c>
      <c r="U110" s="23">
        <f t="shared" si="36"/>
        <v>0.44926034780310226</v>
      </c>
      <c r="V110" s="23">
        <f t="shared" si="36"/>
        <v>0.494285910609499</v>
      </c>
      <c r="W110" s="23">
        <f t="shared" si="36"/>
        <v>0.53893739928742512</v>
      </c>
      <c r="X110" s="28">
        <f>1/(1+EXP(-X136))</f>
        <v>0.58195735314950625</v>
      </c>
    </row>
    <row r="111" spans="2:24" x14ac:dyDescent="0.35">
      <c r="B111" s="76"/>
      <c r="C111" s="17">
        <v>0.9</v>
      </c>
      <c r="D111" s="27">
        <f t="shared" ref="D111:X111" si="37">1/(1+EXP(-D137))</f>
        <v>0.10934003928392109</v>
      </c>
      <c r="E111" s="23">
        <f t="shared" si="37"/>
        <v>0.11395734767960619</v>
      </c>
      <c r="F111" s="23">
        <f t="shared" si="37"/>
        <v>0.11947178277255553</v>
      </c>
      <c r="G111" s="23">
        <f t="shared" si="37"/>
        <v>0.12606472014737716</v>
      </c>
      <c r="H111" s="23">
        <f t="shared" si="37"/>
        <v>0.1339533530781154</v>
      </c>
      <c r="I111" s="23">
        <f t="shared" si="37"/>
        <v>0.14339548877714564</v>
      </c>
      <c r="J111" s="23">
        <f t="shared" si="37"/>
        <v>0.1546929901962236</v>
      </c>
      <c r="K111" s="23">
        <f t="shared" si="37"/>
        <v>0.16819211592067915</v>
      </c>
      <c r="L111" s="23">
        <f t="shared" si="37"/>
        <v>0.18427809809749762</v>
      </c>
      <c r="M111" s="23">
        <f t="shared" si="37"/>
        <v>0.20336031811112235</v>
      </c>
      <c r="N111" s="23">
        <f t="shared" si="37"/>
        <v>0.22584379230994375</v>
      </c>
      <c r="O111" s="23">
        <f t="shared" si="37"/>
        <v>0.25208314108522362</v>
      </c>
      <c r="P111" s="23">
        <f t="shared" si="37"/>
        <v>0.28231790140917906</v>
      </c>
      <c r="Q111" s="23">
        <f t="shared" si="37"/>
        <v>0.31659396675589346</v>
      </c>
      <c r="R111" s="23">
        <f t="shared" si="37"/>
        <v>0.35468492128416979</v>
      </c>
      <c r="S111" s="23">
        <f t="shared" si="37"/>
        <v>0.39603628936130753</v>
      </c>
      <c r="T111" s="23">
        <f t="shared" si="37"/>
        <v>0.43975943794511912</v>
      </c>
      <c r="U111" s="23">
        <f t="shared" si="37"/>
        <v>0.48469375522565372</v>
      </c>
      <c r="V111" s="23">
        <f t="shared" si="37"/>
        <v>0.52953458754542881</v>
      </c>
      <c r="W111" s="23">
        <f t="shared" si="37"/>
        <v>0.57299848020793642</v>
      </c>
      <c r="X111" s="28">
        <f t="shared" si="37"/>
        <v>0.6139810735980139</v>
      </c>
    </row>
    <row r="112" spans="2:24" x14ac:dyDescent="0.35">
      <c r="B112" s="76"/>
      <c r="C112" s="17">
        <v>0.85</v>
      </c>
      <c r="D112" s="27">
        <f t="shared" ref="D112:X112" si="38">1/(1+EXP(-D138))</f>
        <v>0.11290546929389424</v>
      </c>
      <c r="E112" s="23">
        <f t="shared" si="38"/>
        <v>0.11821497809314015</v>
      </c>
      <c r="F112" s="23">
        <f>1/(1+EXP(-F138))</f>
        <v>0.12456157717274052</v>
      </c>
      <c r="G112" s="23">
        <f t="shared" si="38"/>
        <v>0.13215441592891877</v>
      </c>
      <c r="H112" s="23">
        <f t="shared" si="38"/>
        <v>0.14124230631251142</v>
      </c>
      <c r="I112" s="23">
        <f t="shared" si="38"/>
        <v>0.15211757183430655</v>
      </c>
      <c r="J112" s="23">
        <f t="shared" si="38"/>
        <v>0.16511723663505415</v>
      </c>
      <c r="K112" s="23">
        <f t="shared" si="38"/>
        <v>0.18061910218720786</v>
      </c>
      <c r="L112" s="23">
        <f t="shared" si="38"/>
        <v>0.19902927061951464</v>
      </c>
      <c r="M112" s="23">
        <f t="shared" si="38"/>
        <v>0.22075690437695439</v>
      </c>
      <c r="N112" s="23">
        <f t="shared" si="38"/>
        <v>0.24617215208108725</v>
      </c>
      <c r="O112" s="23">
        <f t="shared" si="38"/>
        <v>0.27554528359419261</v>
      </c>
      <c r="P112" s="23">
        <f t="shared" si="38"/>
        <v>0.30897026541842232</v>
      </c>
      <c r="Q112" s="23">
        <f t="shared" si="38"/>
        <v>0.34628446567781668</v>
      </c>
      <c r="R112" s="23">
        <f t="shared" si="38"/>
        <v>0.38700577198662378</v>
      </c>
      <c r="S112" s="23">
        <f t="shared" si="38"/>
        <v>0.43031388098872525</v>
      </c>
      <c r="T112" s="23">
        <f t="shared" si="38"/>
        <v>0.47509728874356671</v>
      </c>
      <c r="U112" s="23">
        <f t="shared" si="38"/>
        <v>0.52006878861835693</v>
      </c>
      <c r="V112" s="23">
        <f t="shared" si="38"/>
        <v>0.56392623426850386</v>
      </c>
      <c r="W112" s="23">
        <f t="shared" si="38"/>
        <v>0.60551587264083018</v>
      </c>
      <c r="X112" s="28">
        <f t="shared" si="38"/>
        <v>0.64395482345565924</v>
      </c>
    </row>
    <row r="113" spans="2:24" x14ac:dyDescent="0.35">
      <c r="B113" s="76"/>
      <c r="C113" s="17">
        <v>0.8</v>
      </c>
      <c r="D113" s="27">
        <f t="shared" ref="D113:X113" si="39">1/(1+EXP(-D139))</f>
        <v>0.11700498498954957</v>
      </c>
      <c r="E113" s="23">
        <f t="shared" si="39"/>
        <v>0.12311469329225863</v>
      </c>
      <c r="F113" s="23">
        <f t="shared" si="39"/>
        <v>0.13042298402630548</v>
      </c>
      <c r="G113" s="23">
        <f t="shared" si="39"/>
        <v>0.13916985365203352</v>
      </c>
      <c r="H113" s="23">
        <f t="shared" si="39"/>
        <v>0.14963814881343238</v>
      </c>
      <c r="I113" s="23">
        <f t="shared" si="39"/>
        <v>0.16215549411226321</v>
      </c>
      <c r="J113" s="23">
        <f t="shared" si="39"/>
        <v>0.17709171123573353</v>
      </c>
      <c r="K113" s="23">
        <f t="shared" si="39"/>
        <v>0.19484849630874077</v>
      </c>
      <c r="L113" s="23">
        <f t="shared" si="39"/>
        <v>0.21583726224550545</v>
      </c>
      <c r="M113" s="23">
        <f t="shared" si="39"/>
        <v>0.24044092136912995</v>
      </c>
      <c r="N113" s="23">
        <f t="shared" si="39"/>
        <v>0.26895697632564275</v>
      </c>
      <c r="O113" s="23">
        <f t="shared" si="39"/>
        <v>0.30152375421572769</v>
      </c>
      <c r="P113" s="23">
        <f t="shared" si="39"/>
        <v>0.33803945949588421</v>
      </c>
      <c r="Q113" s="23">
        <f t="shared" si="39"/>
        <v>0.37809341152467779</v>
      </c>
      <c r="R113" s="23">
        <f t="shared" si="39"/>
        <v>0.4209357490058328</v>
      </c>
      <c r="S113" s="23">
        <f t="shared" si="39"/>
        <v>0.46550939001821889</v>
      </c>
      <c r="T113" s="23">
        <f t="shared" si="39"/>
        <v>0.51055201446576703</v>
      </c>
      <c r="U113" s="23">
        <f t="shared" si="39"/>
        <v>0.55475034295001502</v>
      </c>
      <c r="V113" s="23">
        <f t="shared" si="39"/>
        <v>0.59690686632120182</v>
      </c>
      <c r="W113" s="23">
        <f t="shared" si="39"/>
        <v>0.63607395401938516</v>
      </c>
      <c r="X113" s="28">
        <f t="shared" si="39"/>
        <v>0.67162518527976622</v>
      </c>
    </row>
    <row r="114" spans="2:24" x14ac:dyDescent="0.35">
      <c r="B114" s="76"/>
      <c r="C114" s="17">
        <v>0.75</v>
      </c>
      <c r="D114" s="27">
        <f t="shared" ref="D114:X114" si="40">1/(1+EXP(-D140))</f>
        <v>0.12172191533748386</v>
      </c>
      <c r="E114" s="23">
        <f t="shared" si="40"/>
        <v>0.12875650409313749</v>
      </c>
      <c r="F114" s="23">
        <f t="shared" si="40"/>
        <v>0.13717514605226472</v>
      </c>
      <c r="G114" s="23">
        <f t="shared" si="40"/>
        <v>0.14725130625717703</v>
      </c>
      <c r="H114" s="23">
        <f t="shared" si="40"/>
        <v>0.15930310463946157</v>
      </c>
      <c r="I114" s="23">
        <f t="shared" si="40"/>
        <v>0.17369193096978536</v>
      </c>
      <c r="J114" s="23">
        <f t="shared" si="40"/>
        <v>0.19081408856834273</v>
      </c>
      <c r="K114" s="23">
        <f t="shared" si="40"/>
        <v>0.21108152205546069</v>
      </c>
      <c r="L114" s="23">
        <f t="shared" si="40"/>
        <v>0.23488732700991849</v>
      </c>
      <c r="M114" s="23">
        <f t="shared" si="40"/>
        <v>0.26255286666501942</v>
      </c>
      <c r="N114" s="23">
        <f t="shared" si="40"/>
        <v>0.29425709437199854</v>
      </c>
      <c r="O114" s="23">
        <f t="shared" si="40"/>
        <v>0.3299558395997686</v>
      </c>
      <c r="P114" s="23">
        <f t="shared" si="40"/>
        <v>0.36930838956011675</v>
      </c>
      <c r="Q114" s="23">
        <f t="shared" si="40"/>
        <v>0.41163673818626351</v>
      </c>
      <c r="R114" s="23">
        <f t="shared" si="40"/>
        <v>0.45594290642213414</v>
      </c>
      <c r="S114" s="23">
        <f t="shared" si="40"/>
        <v>0.50099659548322395</v>
      </c>
      <c r="T114" s="23">
        <f t="shared" si="40"/>
        <v>0.54548111180497683</v>
      </c>
      <c r="U114" s="23">
        <f t="shared" si="40"/>
        <v>0.58816137352082698</v>
      </c>
      <c r="V114" s="23">
        <f t="shared" si="40"/>
        <v>0.62802824308495431</v>
      </c>
      <c r="W114" s="23">
        <f t="shared" si="40"/>
        <v>0.66438450589128173</v>
      </c>
      <c r="X114" s="28">
        <f t="shared" si="40"/>
        <v>0.69686214523892842</v>
      </c>
    </row>
    <row r="115" spans="2:24" x14ac:dyDescent="0.35">
      <c r="B115" s="76"/>
      <c r="C115" s="17">
        <v>0.7</v>
      </c>
      <c r="D115" s="27">
        <f t="shared" ref="D115:X115" si="41">1/(1+EXP(-D141))</f>
        <v>0.12715251131084582</v>
      </c>
      <c r="E115" s="23">
        <f t="shared" si="41"/>
        <v>0.13525529190008204</v>
      </c>
      <c r="F115" s="23">
        <f t="shared" si="41"/>
        <v>0.14495371819017</v>
      </c>
      <c r="G115" s="23">
        <f t="shared" si="41"/>
        <v>0.15655635363139542</v>
      </c>
      <c r="H115" s="23">
        <f t="shared" si="41"/>
        <v>0.17041579232897114</v>
      </c>
      <c r="I115" s="23">
        <f t="shared" si="41"/>
        <v>0.18692208874423935</v>
      </c>
      <c r="J115" s="23">
        <f t="shared" si="41"/>
        <v>0.20648617094818869</v>
      </c>
      <c r="K115" s="23">
        <f t="shared" si="41"/>
        <v>0.22950892395767322</v>
      </c>
      <c r="L115" s="23">
        <f t="shared" si="41"/>
        <v>0.25633234632632923</v>
      </c>
      <c r="M115" s="23">
        <f t="shared" si="41"/>
        <v>0.28717230180455455</v>
      </c>
      <c r="N115" s="23">
        <f t="shared" si="41"/>
        <v>0.32203882688486807</v>
      </c>
      <c r="O115" s="23">
        <f t="shared" si="41"/>
        <v>0.36065923400098671</v>
      </c>
      <c r="P115" s="23">
        <f t="shared" si="41"/>
        <v>0.40242810588317196</v>
      </c>
      <c r="Q115" s="23">
        <f t="shared" si="41"/>
        <v>0.44641057655753297</v>
      </c>
      <c r="R115" s="23">
        <f t="shared" si="41"/>
        <v>0.49141511078597122</v>
      </c>
      <c r="S115" s="23">
        <f t="shared" si="41"/>
        <v>0.53612938026016221</v>
      </c>
      <c r="T115" s="23">
        <f t="shared" si="41"/>
        <v>0.5792873943795801</v>
      </c>
      <c r="U115" s="23">
        <f t="shared" si="41"/>
        <v>0.61982243615708343</v>
      </c>
      <c r="V115" s="23">
        <f t="shared" si="41"/>
        <v>0.65696722639169391</v>
      </c>
      <c r="W115" s="23">
        <f t="shared" si="41"/>
        <v>0.69028539153679647</v>
      </c>
      <c r="X115" s="28">
        <f t="shared" si="41"/>
        <v>0.71964290579785428</v>
      </c>
    </row>
    <row r="116" spans="2:24" x14ac:dyDescent="0.35">
      <c r="B116" s="76"/>
      <c r="C116" s="17">
        <v>0.65</v>
      </c>
      <c r="D116" s="27">
        <f t="shared" ref="D116:X116" si="42">1/(1+EXP(-D142))</f>
        <v>0.13340749228018473</v>
      </c>
      <c r="E116" s="23">
        <f t="shared" si="42"/>
        <v>0.14274214948157449</v>
      </c>
      <c r="F116" s="23">
        <f t="shared" si="42"/>
        <v>0.15391160154416883</v>
      </c>
      <c r="G116" s="23">
        <f t="shared" si="42"/>
        <v>0.16725936330075625</v>
      </c>
      <c r="H116" s="23">
        <f t="shared" si="42"/>
        <v>0.18316850576957422</v>
      </c>
      <c r="I116" s="23">
        <f t="shared" si="42"/>
        <v>0.20204755534316166</v>
      </c>
      <c r="J116" s="23">
        <f t="shared" si="42"/>
        <v>0.22430297931704526</v>
      </c>
      <c r="K116" s="23">
        <f t="shared" si="42"/>
        <v>0.25029434814725804</v>
      </c>
      <c r="L116" s="23">
        <f t="shared" si="42"/>
        <v>0.28027077444790016</v>
      </c>
      <c r="M116" s="23">
        <f t="shared" si="42"/>
        <v>0.31429293169633715</v>
      </c>
      <c r="N116" s="23">
        <f t="shared" si="42"/>
        <v>0.35215379294218585</v>
      </c>
      <c r="O116" s="23">
        <f t="shared" si="42"/>
        <v>0.39332061307295391</v>
      </c>
      <c r="P116" s="23">
        <f t="shared" si="42"/>
        <v>0.43692495425701455</v>
      </c>
      <c r="Q116" s="23">
        <f t="shared" si="42"/>
        <v>0.48182031508212508</v>
      </c>
      <c r="R116" s="23">
        <f t="shared" si="42"/>
        <v>0.52670647109765012</v>
      </c>
      <c r="S116" s="23">
        <f t="shared" si="42"/>
        <v>0.57029359175439598</v>
      </c>
      <c r="T116" s="23">
        <f t="shared" si="42"/>
        <v>0.61146197189464646</v>
      </c>
      <c r="U116" s="23">
        <f t="shared" si="42"/>
        <v>0.64937565513175477</v>
      </c>
      <c r="V116" s="23">
        <f t="shared" si="42"/>
        <v>0.68352852789932483</v>
      </c>
      <c r="W116" s="23">
        <f t="shared" si="42"/>
        <v>0.71372686901870352</v>
      </c>
      <c r="X116" s="28">
        <f t="shared" si="42"/>
        <v>0.74002967840961131</v>
      </c>
    </row>
    <row r="117" spans="2:24" x14ac:dyDescent="0.35">
      <c r="B117" s="76"/>
      <c r="C117" s="17">
        <v>0.6</v>
      </c>
      <c r="D117" s="27">
        <f t="shared" ref="D117:X117" si="43">1/(1+EXP(-D143))</f>
        <v>0.14061345716509854</v>
      </c>
      <c r="E117" s="23">
        <f t="shared" si="43"/>
        <v>0.15136528878936656</v>
      </c>
      <c r="F117" s="23">
        <f t="shared" si="43"/>
        <v>0.16421875932577057</v>
      </c>
      <c r="G117" s="23">
        <f t="shared" si="43"/>
        <v>0.17954933401182505</v>
      </c>
      <c r="H117" s="23">
        <f t="shared" si="43"/>
        <v>0.19776190740369046</v>
      </c>
      <c r="I117" s="23">
        <f t="shared" si="43"/>
        <v>0.21926650643923074</v>
      </c>
      <c r="J117" s="23">
        <f t="shared" si="43"/>
        <v>0.24443738302459966</v>
      </c>
      <c r="K117" s="23">
        <f t="shared" si="43"/>
        <v>0.27355332257408987</v>
      </c>
      <c r="L117" s="23">
        <f t="shared" si="43"/>
        <v>0.30672196492454296</v>
      </c>
      <c r="M117" s="23">
        <f t="shared" si="43"/>
        <v>0.3437992156472845</v>
      </c>
      <c r="N117" s="23">
        <f t="shared" si="43"/>
        <v>0.38432447283224658</v>
      </c>
      <c r="O117" s="23">
        <f t="shared" si="43"/>
        <v>0.42749833487797839</v>
      </c>
      <c r="P117" s="23">
        <f t="shared" si="43"/>
        <v>0.47222506306324968</v>
      </c>
      <c r="Q117" s="23">
        <f t="shared" si="43"/>
        <v>0.5172241339071213</v>
      </c>
      <c r="R117" s="23">
        <f t="shared" si="43"/>
        <v>0.5611892657419687</v>
      </c>
      <c r="S117" s="23">
        <f t="shared" si="43"/>
        <v>0.60295298715578016</v>
      </c>
      <c r="T117" s="23">
        <f t="shared" si="43"/>
        <v>0.6416127317605842</v>
      </c>
      <c r="U117" s="23">
        <f t="shared" si="43"/>
        <v>0.67659177249501523</v>
      </c>
      <c r="V117" s="23">
        <f t="shared" si="43"/>
        <v>0.70763389522950881</v>
      </c>
      <c r="W117" s="23">
        <f t="shared" si="43"/>
        <v>0.73475052324417778</v>
      </c>
      <c r="X117" s="28">
        <f t="shared" si="43"/>
        <v>0.75814598286589574</v>
      </c>
    </row>
    <row r="118" spans="2:24" x14ac:dyDescent="0.35">
      <c r="B118" s="76"/>
      <c r="C118" s="17">
        <v>0.55000000000000004</v>
      </c>
      <c r="D118" s="27">
        <f t="shared" ref="D118:X118" si="44">1/(1+EXP(-D144))</f>
        <v>0.1489139397355301</v>
      </c>
      <c r="E118" s="23">
        <f t="shared" si="44"/>
        <v>0.16129015236466529</v>
      </c>
      <c r="F118" s="23">
        <f t="shared" si="44"/>
        <v>0.17606056939456444</v>
      </c>
      <c r="G118" s="23">
        <f t="shared" si="44"/>
        <v>0.1936253696534504</v>
      </c>
      <c r="H118" s="23">
        <f t="shared" si="44"/>
        <v>0.21439629764452436</v>
      </c>
      <c r="I118" s="23">
        <f t="shared" si="44"/>
        <v>0.23875957688128341</v>
      </c>
      <c r="J118" s="23">
        <f t="shared" si="44"/>
        <v>0.26702020152053385</v>
      </c>
      <c r="K118" s="23">
        <f t="shared" si="44"/>
        <v>0.2993290542606572</v>
      </c>
      <c r="L118" s="23">
        <f t="shared" si="44"/>
        <v>0.33560194052274261</v>
      </c>
      <c r="M118" s="23">
        <f t="shared" si="44"/>
        <v>0.37544930530922332</v>
      </c>
      <c r="N118" s="23">
        <f t="shared" si="44"/>
        <v>0.41814268484536271</v>
      </c>
      <c r="O118" s="23">
        <f t="shared" si="44"/>
        <v>0.46264223229949425</v>
      </c>
      <c r="P118" s="23">
        <f t="shared" si="44"/>
        <v>0.50769448306628417</v>
      </c>
      <c r="Q118" s="23">
        <f t="shared" si="44"/>
        <v>0.55198432122558072</v>
      </c>
      <c r="R118" s="23">
        <f t="shared" si="44"/>
        <v>0.59430231614346896</v>
      </c>
      <c r="S118" s="23">
        <f t="shared" si="44"/>
        <v>0.63368204974955178</v>
      </c>
      <c r="T118" s="23">
        <f t="shared" si="44"/>
        <v>0.66947586617775867</v>
      </c>
      <c r="U118" s="23">
        <f t="shared" si="44"/>
        <v>0.70136256727322077</v>
      </c>
      <c r="V118" s="23">
        <f t="shared" si="44"/>
        <v>0.72930253702805747</v>
      </c>
      <c r="W118" s="23">
        <f t="shared" si="44"/>
        <v>0.75346558802533237</v>
      </c>
      <c r="X118" s="28">
        <f t="shared" si="44"/>
        <v>0.77415470581269807</v>
      </c>
    </row>
    <row r="119" spans="2:24" x14ac:dyDescent="0.35">
      <c r="B119" s="76"/>
      <c r="C119" s="17">
        <v>0.5</v>
      </c>
      <c r="D119" s="27">
        <f t="shared" ref="D119:X119" si="45">1/(1+EXP(-D145))</f>
        <v>0.15846977871903772</v>
      </c>
      <c r="E119" s="23">
        <f t="shared" si="45"/>
        <v>0.17269822386371214</v>
      </c>
      <c r="F119" s="23">
        <f t="shared" si="45"/>
        <v>0.18963401773252439</v>
      </c>
      <c r="G119" s="23">
        <f t="shared" si="45"/>
        <v>0.20968895540148014</v>
      </c>
      <c r="H119" s="23">
        <f t="shared" si="45"/>
        <v>0.23325870727867395</v>
      </c>
      <c r="I119" s="23">
        <f t="shared" si="45"/>
        <v>0.2606711462563211</v>
      </c>
      <c r="J119" s="23">
        <f t="shared" si="45"/>
        <v>0.2921166650518851</v>
      </c>
      <c r="K119" s="23">
        <f t="shared" si="45"/>
        <v>0.32756768984932544</v>
      </c>
      <c r="L119" s="23">
        <f t="shared" si="45"/>
        <v>0.36670409953525412</v>
      </c>
      <c r="M119" s="23">
        <f t="shared" si="45"/>
        <v>0.40886957532530904</v>
      </c>
      <c r="N119" s="23">
        <f t="shared" si="45"/>
        <v>0.45308464566353057</v>
      </c>
      <c r="O119" s="23">
        <f t="shared" si="45"/>
        <v>0.49812993092474328</v>
      </c>
      <c r="P119" s="23">
        <f t="shared" si="45"/>
        <v>0.54268922852814871</v>
      </c>
      <c r="Q119" s="23">
        <f t="shared" si="45"/>
        <v>0.58551748325428077</v>
      </c>
      <c r="R119" s="23">
        <f t="shared" si="45"/>
        <v>0.6255878749301641</v>
      </c>
      <c r="S119" s="23">
        <f t="shared" si="45"/>
        <v>0.6621821048273171</v>
      </c>
      <c r="T119" s="23">
        <f t="shared" si="45"/>
        <v>0.69491186261445637</v>
      </c>
      <c r="U119" s="23">
        <f t="shared" si="45"/>
        <v>0.72368314111944898</v>
      </c>
      <c r="V119" s="23">
        <f t="shared" si="45"/>
        <v>0.74862773453700471</v>
      </c>
      <c r="W119" s="23">
        <f t="shared" si="45"/>
        <v>0.77002629140319556</v>
      </c>
      <c r="X119" s="28">
        <f t="shared" si="45"/>
        <v>0.78823974928611151</v>
      </c>
    </row>
    <row r="120" spans="2:24" x14ac:dyDescent="0.35">
      <c r="B120" s="76"/>
      <c r="C120" s="17">
        <v>0.45</v>
      </c>
      <c r="D120" s="27">
        <f t="shared" ref="D120:X120" si="46">1/(1+EXP(-D146))</f>
        <v>0.16945833827689349</v>
      </c>
      <c r="E120" s="23">
        <f t="shared" si="46"/>
        <v>0.18578388130511461</v>
      </c>
      <c r="F120" s="23">
        <f t="shared" si="46"/>
        <v>0.20514092183299201</v>
      </c>
      <c r="G120" s="23">
        <f t="shared" si="46"/>
        <v>0.22793223933540296</v>
      </c>
      <c r="H120" s="23">
        <f t="shared" si="46"/>
        <v>0.25450540724679177</v>
      </c>
      <c r="I120" s="23">
        <f t="shared" si="46"/>
        <v>0.28508662516996852</v>
      </c>
      <c r="J120" s="23">
        <f t="shared" si="46"/>
        <v>0.31970147093885876</v>
      </c>
      <c r="K120" s="23">
        <f t="shared" si="46"/>
        <v>0.35809718229011361</v>
      </c>
      <c r="L120" s="23">
        <f t="shared" si="46"/>
        <v>0.39969012082143873</v>
      </c>
      <c r="M120" s="23">
        <f t="shared" si="46"/>
        <v>0.44356499432098773</v>
      </c>
      <c r="N120" s="23">
        <f t="shared" si="46"/>
        <v>0.48854311697357372</v>
      </c>
      <c r="O120" s="23">
        <f t="shared" si="46"/>
        <v>0.53331497738123013</v>
      </c>
      <c r="P120" s="23">
        <f t="shared" si="46"/>
        <v>0.57660668931198822</v>
      </c>
      <c r="Q120" s="23">
        <f t="shared" si="46"/>
        <v>0.61733515948461315</v>
      </c>
      <c r="R120" s="23">
        <f t="shared" si="46"/>
        <v>0.65471236978617231</v>
      </c>
      <c r="S120" s="23">
        <f t="shared" si="46"/>
        <v>0.68828118849579556</v>
      </c>
      <c r="T120" s="23">
        <f t="shared" si="46"/>
        <v>0.71789002562775672</v>
      </c>
      <c r="U120" s="23">
        <f t="shared" si="46"/>
        <v>0.74362911346113492</v>
      </c>
      <c r="V120" s="23">
        <f t="shared" si="46"/>
        <v>0.76575363353604342</v>
      </c>
      <c r="W120" s="23">
        <f t="shared" si="46"/>
        <v>0.78461242745489013</v>
      </c>
      <c r="X120" s="28">
        <f t="shared" si="46"/>
        <v>0.80059191396390572</v>
      </c>
    </row>
    <row r="121" spans="2:24" x14ac:dyDescent="0.35">
      <c r="B121" s="76"/>
      <c r="C121" s="17">
        <v>0.4</v>
      </c>
      <c r="D121" s="27">
        <f t="shared" ref="D121:X121" si="47">1/(1+EXP(-D147))</f>
        <v>0.18207096315098623</v>
      </c>
      <c r="E121" s="23">
        <f t="shared" si="47"/>
        <v>0.20074850645647543</v>
      </c>
      <c r="F121" s="23">
        <f t="shared" si="47"/>
        <v>0.22277736066161846</v>
      </c>
      <c r="G121" s="23">
        <f t="shared" si="47"/>
        <v>0.24852178711175019</v>
      </c>
      <c r="H121" s="23">
        <f t="shared" si="47"/>
        <v>0.27824015329492219</v>
      </c>
      <c r="I121" s="23">
        <f t="shared" si="47"/>
        <v>0.31200758330200007</v>
      </c>
      <c r="J121" s="23">
        <f t="shared" si="47"/>
        <v>0.34963619410304009</v>
      </c>
      <c r="K121" s="23">
        <f t="shared" si="47"/>
        <v>0.39061492337870074</v>
      </c>
      <c r="L121" s="23">
        <f t="shared" si="47"/>
        <v>0.43409576231434716</v>
      </c>
      <c r="M121" s="23">
        <f t="shared" si="47"/>
        <v>0.47894683387476727</v>
      </c>
      <c r="N121" s="23">
        <f t="shared" si="47"/>
        <v>0.52387302454996176</v>
      </c>
      <c r="O121" s="23">
        <f t="shared" si="47"/>
        <v>0.56757879096074548</v>
      </c>
      <c r="P121" s="23">
        <f t="shared" si="47"/>
        <v>0.60892955085221168</v>
      </c>
      <c r="Q121" s="23">
        <f t="shared" si="47"/>
        <v>0.64706915584765667</v>
      </c>
      <c r="R121" s="23">
        <f t="shared" si="47"/>
        <v>0.68147041692735788</v>
      </c>
      <c r="S121" s="23">
        <f t="shared" si="47"/>
        <v>0.71192118228567614</v>
      </c>
      <c r="T121" s="23">
        <f t="shared" si="47"/>
        <v>0.73846657464820076</v>
      </c>
      <c r="U121" s="23">
        <f t="shared" si="47"/>
        <v>0.76133304854616313</v>
      </c>
      <c r="V121" s="23">
        <f t="shared" si="47"/>
        <v>0.78085480513167127</v>
      </c>
      <c r="W121" s="23">
        <f t="shared" si="47"/>
        <v>0.79741408446324513</v>
      </c>
      <c r="X121" s="28">
        <f t="shared" si="47"/>
        <v>0.81139885949011636</v>
      </c>
    </row>
    <row r="122" spans="2:24" x14ac:dyDescent="0.35">
      <c r="B122" s="76"/>
      <c r="C122" s="17">
        <v>0.35</v>
      </c>
      <c r="D122" s="27">
        <f t="shared" ref="D122:X122" si="48">1/(1+EXP(-D148))</f>
        <v>0.19650791209864565</v>
      </c>
      <c r="E122" s="23">
        <f t="shared" si="48"/>
        <v>0.21779101506415868</v>
      </c>
      <c r="F122" s="23">
        <f t="shared" si="48"/>
        <v>0.24271867761366667</v>
      </c>
      <c r="G122" s="23">
        <f t="shared" si="48"/>
        <v>0.27157789001725929</v>
      </c>
      <c r="H122" s="23">
        <f t="shared" si="48"/>
        <v>0.304489631345357</v>
      </c>
      <c r="I122" s="23">
        <f t="shared" si="48"/>
        <v>0.34132807234656692</v>
      </c>
      <c r="J122" s="23">
        <f t="shared" si="48"/>
        <v>0.38165402296068074</v>
      </c>
      <c r="K122" s="23">
        <f t="shared" si="48"/>
        <v>0.4246891537327086</v>
      </c>
      <c r="L122" s="23">
        <f t="shared" si="48"/>
        <v>0.46935395129838486</v>
      </c>
      <c r="M122" s="23">
        <f t="shared" si="48"/>
        <v>0.51437523558303599</v>
      </c>
      <c r="N122" s="23">
        <f t="shared" si="48"/>
        <v>0.55844327309789599</v>
      </c>
      <c r="O122" s="23">
        <f t="shared" si="48"/>
        <v>0.60037739505389498</v>
      </c>
      <c r="P122" s="23">
        <f t="shared" si="48"/>
        <v>0.63925559623152228</v>
      </c>
      <c r="Q122" s="23">
        <f t="shared" si="48"/>
        <v>0.67447991909247806</v>
      </c>
      <c r="R122" s="23">
        <f t="shared" si="48"/>
        <v>0.70577493831481586</v>
      </c>
      <c r="S122" s="23">
        <f t="shared" si="48"/>
        <v>0.73313715440818805</v>
      </c>
      <c r="T122" s="23">
        <f t="shared" si="48"/>
        <v>0.75676092383198823</v>
      </c>
      <c r="U122" s="23">
        <f t="shared" si="48"/>
        <v>0.7769630939403388</v>
      </c>
      <c r="V122" s="23">
        <f t="shared" si="48"/>
        <v>0.79411981808014132</v>
      </c>
      <c r="W122" s="23">
        <f t="shared" si="48"/>
        <v>0.80862054958430263</v>
      </c>
      <c r="X122" s="28">
        <f t="shared" si="48"/>
        <v>0.82083855076030576</v>
      </c>
    </row>
    <row r="123" spans="2:24" x14ac:dyDescent="0.35">
      <c r="B123" s="76"/>
      <c r="C123" s="17">
        <v>0.3</v>
      </c>
      <c r="D123" s="27">
        <f t="shared" ref="D123:X123" si="49">1/(1+EXP(-D149))</f>
        <v>0.21296993482292265</v>
      </c>
      <c r="E123" s="23">
        <f t="shared" si="49"/>
        <v>0.23709409655686567</v>
      </c>
      <c r="F123" s="23">
        <f t="shared" si="49"/>
        <v>0.26509993117479624</v>
      </c>
      <c r="G123" s="23">
        <f t="shared" si="49"/>
        <v>0.29715054206451624</v>
      </c>
      <c r="H123" s="23">
        <f t="shared" si="49"/>
        <v>0.33317904126325304</v>
      </c>
      <c r="I123" s="23">
        <f t="shared" si="49"/>
        <v>0.37281685443872892</v>
      </c>
      <c r="J123" s="23">
        <f t="shared" si="49"/>
        <v>0.41535702340260344</v>
      </c>
      <c r="K123" s="23">
        <f t="shared" si="49"/>
        <v>0.45977733856811076</v>
      </c>
      <c r="L123" s="23">
        <f t="shared" si="49"/>
        <v>0.50483382128103338</v>
      </c>
      <c r="M123" s="23">
        <f t="shared" si="49"/>
        <v>0.54921021434239081</v>
      </c>
      <c r="N123" s="23">
        <f t="shared" si="49"/>
        <v>0.59168573399080504</v>
      </c>
      <c r="O123" s="23">
        <f t="shared" si="49"/>
        <v>0.63127548397414845</v>
      </c>
      <c r="P123" s="23">
        <f t="shared" si="49"/>
        <v>0.66731059871129805</v>
      </c>
      <c r="Q123" s="23">
        <f t="shared" si="49"/>
        <v>0.69944999103128325</v>
      </c>
      <c r="R123" s="23">
        <f t="shared" si="49"/>
        <v>0.72763810475912405</v>
      </c>
      <c r="S123" s="23">
        <f t="shared" si="49"/>
        <v>0.75203373924371852</v>
      </c>
      <c r="T123" s="23">
        <f t="shared" si="49"/>
        <v>0.77293351194408044</v>
      </c>
      <c r="U123" s="23">
        <f t="shared" si="49"/>
        <v>0.79070541124399651</v>
      </c>
      <c r="V123" s="23">
        <f t="shared" si="49"/>
        <v>0.80573904912433114</v>
      </c>
      <c r="W123" s="23">
        <f t="shared" si="49"/>
        <v>0.81841288422463998</v>
      </c>
      <c r="X123" s="28">
        <f t="shared" si="49"/>
        <v>0.82907544306529368</v>
      </c>
    </row>
    <row r="124" spans="2:24" x14ac:dyDescent="0.35">
      <c r="B124" s="76"/>
      <c r="C124" s="17">
        <v>0.25</v>
      </c>
      <c r="D124" s="27">
        <f t="shared" ref="D124:X124" si="50">1/(1+EXP(-D150))</f>
        <v>0.2316457242255465</v>
      </c>
      <c r="E124" s="23">
        <f t="shared" si="50"/>
        <v>0.25880586286285168</v>
      </c>
      <c r="F124" s="23">
        <f t="shared" si="50"/>
        <v>0.28999258716319498</v>
      </c>
      <c r="G124" s="23">
        <f t="shared" si="50"/>
        <v>0.32519460865976502</v>
      </c>
      <c r="H124" s="23">
        <f t="shared" si="50"/>
        <v>0.36411221149920553</v>
      </c>
      <c r="I124" s="23">
        <f t="shared" si="50"/>
        <v>0.40611081195709087</v>
      </c>
      <c r="J124" s="23">
        <f t="shared" si="50"/>
        <v>0.45022978714599216</v>
      </c>
      <c r="K124" s="23">
        <f t="shared" si="50"/>
        <v>0.49526126959181788</v>
      </c>
      <c r="L124" s="23">
        <f t="shared" si="50"/>
        <v>0.53989024565864852</v>
      </c>
      <c r="M124" s="23">
        <f t="shared" si="50"/>
        <v>0.5828622963417931</v>
      </c>
      <c r="N124" s="23">
        <f t="shared" si="50"/>
        <v>0.62313328916292465</v>
      </c>
      <c r="O124" s="23">
        <f>1/(1+EXP(-O150))</f>
        <v>0.65996392386698766</v>
      </c>
      <c r="P124" s="23">
        <f t="shared" si="50"/>
        <v>0.69294544289351645</v>
      </c>
      <c r="Q124" s="23">
        <f t="shared" si="50"/>
        <v>0.72196692414709296</v>
      </c>
      <c r="R124" s="23">
        <f t="shared" si="50"/>
        <v>0.74714809019279904</v>
      </c>
      <c r="S124" s="23">
        <f t="shared" si="50"/>
        <v>0.76876229892800507</v>
      </c>
      <c r="T124" s="23">
        <f t="shared" si="50"/>
        <v>0.78716712290091573</v>
      </c>
      <c r="U124" s="23">
        <f t="shared" si="50"/>
        <v>0.80275086113365302</v>
      </c>
      <c r="V124" s="23">
        <f t="shared" si="50"/>
        <v>0.81589633331968181</v>
      </c>
      <c r="W124" s="23">
        <f t="shared" si="50"/>
        <v>0.82695944395186993</v>
      </c>
      <c r="X124" s="28">
        <f t="shared" si="50"/>
        <v>0.83625867580806523</v>
      </c>
    </row>
    <row r="125" spans="2:24" x14ac:dyDescent="0.35">
      <c r="B125" s="76"/>
      <c r="C125" s="17">
        <v>0.2</v>
      </c>
      <c r="D125" s="27">
        <f t="shared" ref="D125:X125" si="51">1/(1+EXP(-D151))</f>
        <v>0.25269479758759755</v>
      </c>
      <c r="E125" s="23">
        <f t="shared" si="51"/>
        <v>0.28301740900721156</v>
      </c>
      <c r="F125" s="23">
        <f t="shared" si="51"/>
        <v>0.31737956891022351</v>
      </c>
      <c r="G125" s="23">
        <f t="shared" si="51"/>
        <v>0.35554821764245337</v>
      </c>
      <c r="H125" s="23">
        <f t="shared" si="51"/>
        <v>0.39696148604437959</v>
      </c>
      <c r="I125" s="23">
        <f t="shared" si="51"/>
        <v>0.44072393399338111</v>
      </c>
      <c r="J125" s="23">
        <f t="shared" si="51"/>
        <v>0.48567027374450661</v>
      </c>
      <c r="K125" s="23">
        <f t="shared" si="51"/>
        <v>0.5304945023844877</v>
      </c>
      <c r="L125" s="23">
        <f t="shared" si="51"/>
        <v>0.57391548176799012</v>
      </c>
      <c r="M125" s="23">
        <f t="shared" si="51"/>
        <v>0.61483417145936159</v>
      </c>
      <c r="N125" s="23">
        <f t="shared" si="51"/>
        <v>0.65244195676760885</v>
      </c>
      <c r="O125" s="23">
        <f t="shared" si="51"/>
        <v>0.68626083664986826</v>
      </c>
      <c r="P125" s="23">
        <f t="shared" si="51"/>
        <v>0.71612138949416826</v>
      </c>
      <c r="Q125" s="23">
        <f t="shared" si="51"/>
        <v>0.74210071247854248</v>
      </c>
      <c r="R125" s="23">
        <f t="shared" si="51"/>
        <v>0.76444573326640386</v>
      </c>
      <c r="S125" s="23">
        <f t="shared" si="51"/>
        <v>0.78350118454922091</v>
      </c>
      <c r="T125" s="23">
        <f t="shared" si="51"/>
        <v>0.79965242406148163</v>
      </c>
      <c r="U125" s="23">
        <f t="shared" si="51"/>
        <v>0.81328567691592168</v>
      </c>
      <c r="V125" s="23">
        <f t="shared" si="51"/>
        <v>0.82476376361577619</v>
      </c>
      <c r="W125" s="23">
        <f t="shared" si="51"/>
        <v>0.83441359644366675</v>
      </c>
      <c r="X125" s="28">
        <f t="shared" si="51"/>
        <v>0.84252164825674247</v>
      </c>
    </row>
    <row r="126" spans="2:24" x14ac:dyDescent="0.35">
      <c r="B126" s="76"/>
      <c r="C126" s="17">
        <v>0.15</v>
      </c>
      <c r="D126" s="27">
        <f t="shared" ref="D126:X126" si="52">1/(1+EXP(-D152))</f>
        <v>0.27622604981432802</v>
      </c>
      <c r="E126" s="23">
        <f t="shared" si="52"/>
        <v>0.30973801183270394</v>
      </c>
      <c r="F126" s="23">
        <f t="shared" si="52"/>
        <v>0.347132304317541</v>
      </c>
      <c r="G126" s="23">
        <f t="shared" si="52"/>
        <v>0.38791948432640211</v>
      </c>
      <c r="H126" s="23">
        <f t="shared" si="52"/>
        <v>0.43127218682716334</v>
      </c>
      <c r="I126" s="23">
        <f t="shared" si="52"/>
        <v>0.4760736575202788</v>
      </c>
      <c r="J126" s="23">
        <f t="shared" si="52"/>
        <v>0.52103457004205067</v>
      </c>
      <c r="K126" s="23">
        <f t="shared" si="52"/>
        <v>0.56485433822945552</v>
      </c>
      <c r="L126" s="23">
        <f t="shared" si="52"/>
        <v>0.60638398738428012</v>
      </c>
      <c r="M126" s="23">
        <f t="shared" si="52"/>
        <v>0.64474738089199335</v>
      </c>
      <c r="N126" s="23">
        <f t="shared" si="52"/>
        <v>0.67939619019903263</v>
      </c>
      <c r="O126" s="23">
        <f t="shared" si="52"/>
        <v>0.71009958939199969</v>
      </c>
      <c r="P126" s="23">
        <f t="shared" si="52"/>
        <v>0.73688850880434698</v>
      </c>
      <c r="Q126" s="23">
        <f t="shared" si="52"/>
        <v>0.75998015043016687</v>
      </c>
      <c r="R126" s="23">
        <f t="shared" si="52"/>
        <v>0.7797038115877436</v>
      </c>
      <c r="S126" s="23">
        <f t="shared" si="52"/>
        <v>0.79644011768229428</v>
      </c>
      <c r="T126" s="23">
        <f t="shared" si="52"/>
        <v>0.81057761492112546</v>
      </c>
      <c r="U126" s="23">
        <f t="shared" si="52"/>
        <v>0.8224854879334621</v>
      </c>
      <c r="V126" s="23">
        <f t="shared" si="52"/>
        <v>0.8324988846736262</v>
      </c>
      <c r="W126" s="23">
        <f t="shared" si="52"/>
        <v>0.84091297812712629</v>
      </c>
      <c r="X126" s="28">
        <f t="shared" si="52"/>
        <v>0.84798248350313754</v>
      </c>
    </row>
    <row r="127" spans="2:24" x14ac:dyDescent="0.35">
      <c r="B127" s="76"/>
      <c r="C127" s="17">
        <v>0.1</v>
      </c>
      <c r="D127" s="27">
        <f t="shared" ref="D127:X127" si="53">1/(1+EXP(-D153))</f>
        <v>0.30227333694009079</v>
      </c>
      <c r="E127" s="23">
        <f t="shared" si="53"/>
        <v>0.3388711961136967</v>
      </c>
      <c r="F127" s="23">
        <f t="shared" si="53"/>
        <v>0.37899466979576202</v>
      </c>
      <c r="G127" s="23">
        <f t="shared" si="53"/>
        <v>0.42188665224885075</v>
      </c>
      <c r="H127" s="23">
        <f t="shared" si="53"/>
        <v>0.4664842986259754</v>
      </c>
      <c r="I127" s="23">
        <f t="shared" si="53"/>
        <v>0.51152242443871176</v>
      </c>
      <c r="J127" s="23">
        <f t="shared" si="53"/>
        <v>0.55568853232767845</v>
      </c>
      <c r="K127" s="23">
        <f t="shared" si="53"/>
        <v>0.59778929188180097</v>
      </c>
      <c r="L127" s="23">
        <f t="shared" si="53"/>
        <v>0.63688352495201039</v>
      </c>
      <c r="M127" s="23">
        <f t="shared" si="53"/>
        <v>0.67235203073353467</v>
      </c>
      <c r="N127" s="23">
        <f t="shared" si="53"/>
        <v>0.70389995821756779</v>
      </c>
      <c r="O127" s="23">
        <f t="shared" si="53"/>
        <v>0.73150857692911198</v>
      </c>
      <c r="P127" s="23">
        <f t="shared" si="53"/>
        <v>0.75536196317769355</v>
      </c>
      <c r="Q127" s="23">
        <f t="shared" si="53"/>
        <v>0.77577121605718502</v>
      </c>
      <c r="R127" s="23">
        <f t="shared" si="53"/>
        <v>0.79311027000098322</v>
      </c>
      <c r="S127" s="23">
        <f t="shared" si="53"/>
        <v>0.80776877113870338</v>
      </c>
      <c r="T127" s="23">
        <f t="shared" si="53"/>
        <v>0.82012161841449616</v>
      </c>
      <c r="U127" s="23">
        <f t="shared" si="53"/>
        <v>0.83051193861997785</v>
      </c>
      <c r="V127" s="23">
        <f t="shared" si="53"/>
        <v>0.83924359166774554</v>
      </c>
      <c r="W127" s="23">
        <f t="shared" si="53"/>
        <v>0.84657975922534368</v>
      </c>
      <c r="X127" s="28">
        <f t="shared" si="53"/>
        <v>0.85274501539712511</v>
      </c>
    </row>
    <row r="128" spans="2:24" x14ac:dyDescent="0.35">
      <c r="B128" s="76"/>
      <c r="C128" s="17">
        <v>0.05</v>
      </c>
      <c r="D128" s="27">
        <f t="shared" ref="D128:X128" si="54">1/(1+EXP(-D154))</f>
        <v>0.33077090281565685</v>
      </c>
      <c r="E128" s="23">
        <f t="shared" si="54"/>
        <v>0.37019628881015931</v>
      </c>
      <c r="F128" s="23">
        <f t="shared" si="54"/>
        <v>0.41257906766044</v>
      </c>
      <c r="G128" s="23">
        <f t="shared" si="54"/>
        <v>0.45691505118263975</v>
      </c>
      <c r="H128" s="23">
        <f t="shared" si="54"/>
        <v>0.50197036668693684</v>
      </c>
      <c r="I128" s="23">
        <f t="shared" si="54"/>
        <v>0.54642831270629266</v>
      </c>
      <c r="J128" s="23">
        <f t="shared" si="54"/>
        <v>0.58905733373719871</v>
      </c>
      <c r="K128" s="23">
        <f t="shared" si="54"/>
        <v>0.6288543830978699</v>
      </c>
      <c r="L128" s="23">
        <f t="shared" si="54"/>
        <v>0.66512942769652061</v>
      </c>
      <c r="M128" s="23">
        <f t="shared" si="54"/>
        <v>0.69752131090443992</v>
      </c>
      <c r="N128" s="23">
        <f t="shared" si="54"/>
        <v>0.72595823936922332</v>
      </c>
      <c r="O128" s="23">
        <f t="shared" si="54"/>
        <v>0.75058768345767057</v>
      </c>
      <c r="P128" s="23">
        <f t="shared" si="54"/>
        <v>0.77169962085087584</v>
      </c>
      <c r="Q128" s="23">
        <f t="shared" si="54"/>
        <v>0.78965916524616053</v>
      </c>
      <c r="R128" s="23">
        <f t="shared" si="54"/>
        <v>0.80485569684715652</v>
      </c>
      <c r="S128" s="23">
        <f t="shared" si="54"/>
        <v>0.81766907296166214</v>
      </c>
      <c r="T128" s="23">
        <f t="shared" si="54"/>
        <v>0.82845007259045544</v>
      </c>
      <c r="U128" s="23">
        <f t="shared" si="54"/>
        <v>0.83751118804066704</v>
      </c>
      <c r="V128" s="23">
        <f t="shared" si="54"/>
        <v>0.84512416742654417</v>
      </c>
      <c r="W128" s="23">
        <f t="shared" si="54"/>
        <v>0.85152151874977788</v>
      </c>
      <c r="X128" s="28">
        <f t="shared" si="54"/>
        <v>0.85690004247500462</v>
      </c>
    </row>
    <row r="129" spans="2:24" ht="15" thickBot="1" x14ac:dyDescent="0.4">
      <c r="B129" s="77"/>
      <c r="C129" s="18">
        <v>0</v>
      </c>
      <c r="D129" s="29">
        <f t="shared" ref="D129:X129" si="55">1/(1+EXP(-D155))</f>
        <v>0.36153293711076107</v>
      </c>
      <c r="E129" s="30">
        <f t="shared" si="55"/>
        <v>0.4033607377972856</v>
      </c>
      <c r="F129" s="30">
        <f t="shared" si="55"/>
        <v>0.44737866836419005</v>
      </c>
      <c r="G129" s="30">
        <f t="shared" si="55"/>
        <v>0.4923909538840639</v>
      </c>
      <c r="H129" s="30">
        <f t="shared" si="55"/>
        <v>0.53708446666803156</v>
      </c>
      <c r="I129" s="30">
        <f t="shared" si="55"/>
        <v>0.58019604449691231</v>
      </c>
      <c r="J129" s="30">
        <f t="shared" si="55"/>
        <v>0.62066463079911305</v>
      </c>
      <c r="K129" s="30">
        <f t="shared" si="55"/>
        <v>0.657730024046425</v>
      </c>
      <c r="L129" s="30">
        <f t="shared" si="55"/>
        <v>0.69096287805842582</v>
      </c>
      <c r="M129" s="30">
        <f t="shared" si="55"/>
        <v>0.72023507453292679</v>
      </c>
      <c r="N129" s="30">
        <f t="shared" si="55"/>
        <v>0.74565394603411539</v>
      </c>
      <c r="O129" s="30">
        <f t="shared" si="55"/>
        <v>0.76748527546541567</v>
      </c>
      <c r="P129" s="30">
        <f t="shared" si="55"/>
        <v>0.7860830530351004</v>
      </c>
      <c r="Q129" s="30">
        <f t="shared" si="55"/>
        <v>0.8018348751733384</v>
      </c>
      <c r="R129" s="30">
        <f t="shared" si="55"/>
        <v>0.8151246871161556</v>
      </c>
      <c r="S129" s="30">
        <f t="shared" si="55"/>
        <v>0.82631051648504861</v>
      </c>
      <c r="T129" s="30">
        <f t="shared" si="55"/>
        <v>0.83571338680680307</v>
      </c>
      <c r="U129" s="30">
        <f t="shared" si="55"/>
        <v>0.84361368759264632</v>
      </c>
      <c r="V129" s="30">
        <f t="shared" si="55"/>
        <v>0.85025202493804797</v>
      </c>
      <c r="W129" s="30">
        <f t="shared" si="55"/>
        <v>0.85583244622866028</v>
      </c>
      <c r="X129" s="31">
        <f t="shared" si="55"/>
        <v>0.86052667843896391</v>
      </c>
    </row>
    <row r="130" spans="2:24" x14ac:dyDescent="0.35">
      <c r="C130" s="6"/>
      <c r="D130" s="21">
        <v>0</v>
      </c>
      <c r="E130" s="19">
        <v>0.05</v>
      </c>
      <c r="F130" s="19">
        <v>0.1</v>
      </c>
      <c r="G130" s="19">
        <v>0.15</v>
      </c>
      <c r="H130" s="19">
        <v>0.2</v>
      </c>
      <c r="I130" s="19">
        <v>0.25</v>
      </c>
      <c r="J130" s="19">
        <v>0.3</v>
      </c>
      <c r="K130" s="19">
        <v>0.35</v>
      </c>
      <c r="L130" s="19">
        <v>0.4</v>
      </c>
      <c r="M130" s="19">
        <v>0.45</v>
      </c>
      <c r="N130" s="19">
        <v>0.5</v>
      </c>
      <c r="O130" s="19">
        <v>0.55000000000000004</v>
      </c>
      <c r="P130" s="19">
        <v>0.6</v>
      </c>
      <c r="Q130" s="19">
        <v>0.65</v>
      </c>
      <c r="R130" s="19">
        <v>0.7</v>
      </c>
      <c r="S130" s="19">
        <v>0.75</v>
      </c>
      <c r="T130" s="19">
        <v>0.8</v>
      </c>
      <c r="U130" s="19">
        <v>0.85</v>
      </c>
      <c r="V130" s="19">
        <v>0.9</v>
      </c>
      <c r="W130" s="19">
        <v>0.95</v>
      </c>
      <c r="X130" s="20">
        <v>1</v>
      </c>
    </row>
    <row r="131" spans="2:24" ht="21.5" thickBot="1" x14ac:dyDescent="0.55000000000000004">
      <c r="C131" s="6"/>
      <c r="D131" s="78" t="s">
        <v>51</v>
      </c>
      <c r="E131" s="79"/>
      <c r="F131" s="79"/>
      <c r="G131" s="79"/>
      <c r="H131" s="79"/>
      <c r="I131" s="79"/>
      <c r="J131" s="79"/>
      <c r="K131" s="79"/>
      <c r="L131" s="79"/>
      <c r="M131" s="79"/>
      <c r="N131" s="79"/>
      <c r="O131" s="79"/>
      <c r="P131" s="79"/>
      <c r="Q131" s="79"/>
      <c r="R131" s="79"/>
      <c r="S131" s="79"/>
      <c r="T131" s="79"/>
      <c r="U131" s="79"/>
      <c r="V131" s="79"/>
      <c r="W131" s="79"/>
      <c r="X131" s="80"/>
    </row>
    <row r="133" spans="2:24" ht="15" thickBot="1" x14ac:dyDescent="0.4"/>
    <row r="134" spans="2:24" ht="21.5" thickBot="1" x14ac:dyDescent="0.55000000000000004">
      <c r="B134" s="81" t="s">
        <v>10</v>
      </c>
      <c r="C134" s="82"/>
      <c r="D134" s="82"/>
      <c r="E134" s="82"/>
      <c r="F134" s="82"/>
      <c r="G134" s="82"/>
      <c r="H134" s="82"/>
      <c r="I134" s="82"/>
      <c r="J134" s="82"/>
      <c r="K134" s="82"/>
      <c r="L134" s="82"/>
      <c r="M134" s="82"/>
      <c r="N134" s="82"/>
      <c r="O134" s="82"/>
      <c r="P134" s="82"/>
      <c r="Q134" s="82"/>
      <c r="R134" s="82"/>
      <c r="S134" s="82"/>
      <c r="T134" s="82"/>
      <c r="U134" s="82"/>
      <c r="V134" s="82"/>
      <c r="W134" s="82"/>
      <c r="X134" s="83"/>
    </row>
    <row r="135" spans="2:24" x14ac:dyDescent="0.35">
      <c r="B135" s="75" t="s">
        <v>2</v>
      </c>
      <c r="C135" s="20">
        <v>1</v>
      </c>
      <c r="D135" s="23">
        <f>(D161*$P$7) + $P$9</f>
        <v>-2.1585650445973186</v>
      </c>
      <c r="E135" s="23">
        <f>(E161*$P$7) + $P$9</f>
        <v>-2.1214075652793052</v>
      </c>
      <c r="F135" s="23">
        <f t="shared" ref="F135:X135" si="56">(F161*$P$7) + $P$9</f>
        <v>-2.0784885982674868</v>
      </c>
      <c r="G135" s="23">
        <f t="shared" si="56"/>
        <v>-2.029071827155549</v>
      </c>
      <c r="H135" s="23">
        <f t="shared" si="56"/>
        <v>-1.9723809303539404</v>
      </c>
      <c r="I135" s="23">
        <f t="shared" si="56"/>
        <v>-1.9076170061940712</v>
      </c>
      <c r="J135" s="23">
        <f t="shared" si="56"/>
        <v>-1.8339835108903753</v>
      </c>
      <c r="K135" s="23">
        <f t="shared" si="56"/>
        <v>-1.750719686528031</v>
      </c>
      <c r="L135" s="23">
        <f t="shared" si="56"/>
        <v>-1.6571429089811889</v>
      </c>
      <c r="M135" s="23">
        <f t="shared" si="56"/>
        <v>-1.5526994746272234</v>
      </c>
      <c r="N135" s="23">
        <f t="shared" si="56"/>
        <v>-1.4370220409002075</v>
      </c>
      <c r="O135" s="23">
        <f t="shared" si="56"/>
        <v>-1.3099902942231956</v>
      </c>
      <c r="P135" s="23">
        <f t="shared" si="56"/>
        <v>-1.171789620650304</v>
      </c>
      <c r="Q135" s="23">
        <f t="shared" si="56"/>
        <v>-1.0229609301538192</v>
      </c>
      <c r="R135" s="23">
        <f t="shared" si="56"/>
        <v>-0.8644337949242491</v>
      </c>
      <c r="S135" s="23">
        <f t="shared" si="56"/>
        <v>-0.69753520839223304</v>
      </c>
      <c r="T135" s="23">
        <f t="shared" si="56"/>
        <v>-0.52396794557134685</v>
      </c>
      <c r="U135" s="23">
        <f t="shared" si="56"/>
        <v>-0.34575579497734354</v>
      </c>
      <c r="V135" s="23">
        <f t="shared" si="56"/>
        <v>-0.16515747434073935</v>
      </c>
      <c r="W135" s="23">
        <f t="shared" si="56"/>
        <v>1.5443995369283758E-2</v>
      </c>
      <c r="X135" s="66">
        <f t="shared" si="56"/>
        <v>0.19366542751761973</v>
      </c>
    </row>
    <row r="136" spans="2:24" x14ac:dyDescent="0.35">
      <c r="B136" s="76"/>
      <c r="C136" s="17">
        <v>0.95</v>
      </c>
      <c r="D136" s="23">
        <f>(D162*$P$7) + $P$9</f>
        <v>-2.1297708729112137</v>
      </c>
      <c r="E136" s="23">
        <f>(E162*$P$7) + $P$9</f>
        <v>-2.088137660559831</v>
      </c>
      <c r="F136" s="23">
        <f t="shared" ref="F136:X150" si="57">(F162*$P$7) + $P$9</f>
        <v>-2.0401671012834011</v>
      </c>
      <c r="G136" s="23">
        <f t="shared" si="57"/>
        <v>-1.9850901570686372</v>
      </c>
      <c r="H136" s="23">
        <f t="shared" si="57"/>
        <v>-1.9221109131999383</v>
      </c>
      <c r="I136" s="23">
        <f t="shared" si="57"/>
        <v>-1.8504298236098391</v>
      </c>
      <c r="J136" s="23">
        <f t="shared" si="57"/>
        <v>-1.7692752730760075</v>
      </c>
      <c r="K136" s="23">
        <f t="shared" si="57"/>
        <v>-1.6779440310240905</v>
      </c>
      <c r="L136" s="23">
        <f t="shared" si="57"/>
        <v>-1.5758503425011647</v>
      </c>
      <c r="M136" s="23">
        <f t="shared" si="57"/>
        <v>-1.4625821805278822</v>
      </c>
      <c r="N136" s="23">
        <f t="shared" si="57"/>
        <v>-1.3379616040307298</v>
      </c>
      <c r="O136" s="23">
        <f t="shared" si="57"/>
        <v>-1.2021043781429155</v>
      </c>
      <c r="P136" s="23">
        <f t="shared" si="57"/>
        <v>-1.055472317338761</v>
      </c>
      <c r="Q136" s="23">
        <f t="shared" si="57"/>
        <v>-0.89891064385351438</v>
      </c>
      <c r="R136" s="23">
        <f t="shared" si="57"/>
        <v>-0.73366251897269619</v>
      </c>
      <c r="S136" s="23">
        <f t="shared" si="57"/>
        <v>-0.5613542332506718</v>
      </c>
      <c r="T136" s="23">
        <f t="shared" si="57"/>
        <v>-0.38394750137474798</v>
      </c>
      <c r="U136" s="23">
        <f t="shared" si="57"/>
        <v>-0.20365963803367437</v>
      </c>
      <c r="V136" s="23">
        <f t="shared" si="57"/>
        <v>-2.2857352678332443E-2</v>
      </c>
      <c r="W136" s="23">
        <f t="shared" si="57"/>
        <v>0.15606559475973025</v>
      </c>
      <c r="X136" s="67">
        <f t="shared" si="57"/>
        <v>0.33081371539259319</v>
      </c>
    </row>
    <row r="137" spans="2:24" x14ac:dyDescent="0.35">
      <c r="B137" s="76"/>
      <c r="C137" s="17">
        <v>0.9</v>
      </c>
      <c r="D137" s="23">
        <f t="shared" ref="D137" si="58">(D163*$P$7) + $P$9</f>
        <v>-2.097500064074906</v>
      </c>
      <c r="E137" s="23">
        <f t="shared" ref="E137:T155" si="59">(E163*$P$7) + $P$9</f>
        <v>-2.0509408545387138</v>
      </c>
      <c r="F137" s="23">
        <f t="shared" si="59"/>
        <v>-1.9974417581827555</v>
      </c>
      <c r="G137" s="23">
        <f t="shared" si="59"/>
        <v>-1.9362108953610124</v>
      </c>
      <c r="H137" s="23">
        <f t="shared" si="59"/>
        <v>-1.8664471439289101</v>
      </c>
      <c r="I137" s="23">
        <f t="shared" si="59"/>
        <v>-1.7873698629411838</v>
      </c>
      <c r="J137" s="23">
        <f t="shared" si="59"/>
        <v>-1.6982574422713372</v>
      </c>
      <c r="K137" s="23">
        <f t="shared" si="59"/>
        <v>-1.5984946324010489</v>
      </c>
      <c r="L137" s="23">
        <f t="shared" si="59"/>
        <v>-1.487627471091086</v>
      </c>
      <c r="M137" s="23">
        <f t="shared" si="59"/>
        <v>-1.3654231118620634</v>
      </c>
      <c r="N137" s="23">
        <f t="shared" si="59"/>
        <v>-1.2319300961231714</v>
      </c>
      <c r="O137" s="23">
        <f t="shared" si="59"/>
        <v>-1.0875328625737515</v>
      </c>
      <c r="P137" s="23">
        <f t="shared" si="59"/>
        <v>-0.93299296541542631</v>
      </c>
      <c r="Q137" s="23">
        <f t="shared" si="59"/>
        <v>-0.76946907701498279</v>
      </c>
      <c r="R137" s="23">
        <f t="shared" si="59"/>
        <v>-0.59850884195927634</v>
      </c>
      <c r="S137" s="23">
        <f t="shared" si="59"/>
        <v>-0.42200826754872489</v>
      </c>
      <c r="T137" s="23">
        <f t="shared" si="59"/>
        <v>-0.24213842112924056</v>
      </c>
      <c r="U137" s="23">
        <f t="shared" si="57"/>
        <v>-6.1244115001148458E-2</v>
      </c>
      <c r="V137" s="23">
        <f t="shared" si="57"/>
        <v>0.1182760400458498</v>
      </c>
      <c r="W137" s="23">
        <f t="shared" si="57"/>
        <v>0.29409549191476225</v>
      </c>
      <c r="X137" s="67">
        <f t="shared" si="57"/>
        <v>0.46407770252082203</v>
      </c>
    </row>
    <row r="138" spans="2:24" x14ac:dyDescent="0.35">
      <c r="B138" s="76"/>
      <c r="C138" s="17">
        <v>0.85</v>
      </c>
      <c r="D138" s="23">
        <f t="shared" ref="D138" si="60">(D164*$P$7) + $P$9</f>
        <v>-2.0614006364603976</v>
      </c>
      <c r="E138" s="23">
        <f t="shared" si="59"/>
        <v>-2.0094434718029075</v>
      </c>
      <c r="F138" s="23">
        <f t="shared" si="57"/>
        <v>-1.9499246261337926</v>
      </c>
      <c r="G138" s="23">
        <f t="shared" si="57"/>
        <v>-1.8820427437727187</v>
      </c>
      <c r="H138" s="23">
        <f t="shared" si="57"/>
        <v>-1.8050099027076252</v>
      </c>
      <c r="I138" s="23">
        <f t="shared" si="57"/>
        <v>-1.7180882593885536</v>
      </c>
      <c r="J138" s="23">
        <f t="shared" si="57"/>
        <v>-1.6206355651795676</v>
      </c>
      <c r="K138" s="23">
        <f t="shared" si="57"/>
        <v>-1.5121586463500711</v>
      </c>
      <c r="L138" s="23">
        <f t="shared" si="57"/>
        <v>-1.3923725013562058</v>
      </c>
      <c r="M138" s="23">
        <f t="shared" si="57"/>
        <v>-1.2612609424226102</v>
      </c>
      <c r="N138" s="23">
        <f t="shared" si="57"/>
        <v>-1.1191329271388617</v>
      </c>
      <c r="O138" s="23">
        <f t="shared" si="57"/>
        <v>-0.96666727272287423</v>
      </c>
      <c r="P138" s="23">
        <f t="shared" si="57"/>
        <v>-0.80493781022608868</v>
      </c>
      <c r="Q138" s="23">
        <f t="shared" si="57"/>
        <v>-0.63541170161180371</v>
      </c>
      <c r="R138" s="23">
        <f t="shared" si="57"/>
        <v>-0.45991591231407503</v>
      </c>
      <c r="S138" s="23">
        <f t="shared" si="57"/>
        <v>-0.28057064256660258</v>
      </c>
      <c r="T138" s="23">
        <f t="shared" si="57"/>
        <v>-9.9693332057021689E-2</v>
      </c>
      <c r="U138" s="23">
        <f t="shared" si="57"/>
        <v>8.0318304620455416E-2</v>
      </c>
      <c r="V138" s="23">
        <f t="shared" si="57"/>
        <v>0.25711203614417966</v>
      </c>
      <c r="W138" s="23">
        <f t="shared" si="57"/>
        <v>0.42850187210949575</v>
      </c>
      <c r="X138" s="67">
        <f t="shared" si="57"/>
        <v>0.59257095052385389</v>
      </c>
    </row>
    <row r="139" spans="2:24" x14ac:dyDescent="0.35">
      <c r="B139" s="76"/>
      <c r="C139" s="17">
        <v>0.8</v>
      </c>
      <c r="D139" s="23">
        <f t="shared" ref="D139" si="61">(D165*$P$7) + $P$9</f>
        <v>-2.0211030144348441</v>
      </c>
      <c r="E139" s="23">
        <f t="shared" si="59"/>
        <v>-1.9632598180082845</v>
      </c>
      <c r="F139" s="23">
        <f t="shared" si="57"/>
        <v>-1.8972240130532776</v>
      </c>
      <c r="G139" s="23">
        <f t="shared" si="57"/>
        <v>-1.8222020542550625</v>
      </c>
      <c r="H139" s="23">
        <f t="shared" si="57"/>
        <v>-1.737441927705643</v>
      </c>
      <c r="I139" s="23">
        <f t="shared" si="57"/>
        <v>-1.6422768143521025</v>
      </c>
      <c r="J139" s="23">
        <f t="shared" si="57"/>
        <v>-1.5361770182282593</v>
      </c>
      <c r="K139" s="23">
        <f t="shared" si="57"/>
        <v>-1.4188081484722885</v>
      </c>
      <c r="L139" s="23">
        <f t="shared" si="57"/>
        <v>-1.2900918642824406</v>
      </c>
      <c r="M139" s="23">
        <f t="shared" si="57"/>
        <v>-1.1502636950500933</v>
      </c>
      <c r="N139" s="23">
        <f t="shared" si="57"/>
        <v>-0.99992088643320498</v>
      </c>
      <c r="O139" s="23">
        <f t="shared" si="57"/>
        <v>-0.84005237080281825</v>
      </c>
      <c r="P139" s="23">
        <f t="shared" si="57"/>
        <v>-0.6720433149315963</v>
      </c>
      <c r="Q139" s="23">
        <f t="shared" si="57"/>
        <v>-0.49764861663499627</v>
      </c>
      <c r="R139" s="23">
        <f t="shared" si="57"/>
        <v>-0.31893323347079239</v>
      </c>
      <c r="S139" s="23">
        <f t="shared" si="57"/>
        <v>-0.13818189404527725</v>
      </c>
      <c r="T139" s="23">
        <f t="shared" si="57"/>
        <v>4.2214325746900538E-2</v>
      </c>
      <c r="U139" s="23">
        <f t="shared" si="57"/>
        <v>0.21988302809093541</v>
      </c>
      <c r="V139" s="23">
        <f t="shared" si="57"/>
        <v>0.39259346222392066</v>
      </c>
      <c r="W139" s="23">
        <f t="shared" si="57"/>
        <v>0.55836415987291588</v>
      </c>
      <c r="X139" s="67">
        <f t="shared" si="57"/>
        <v>0.71554474114353828</v>
      </c>
    </row>
    <row r="140" spans="2:24" x14ac:dyDescent="0.35">
      <c r="B140" s="76"/>
      <c r="C140" s="17">
        <v>0.75</v>
      </c>
      <c r="D140" s="23">
        <f t="shared" ref="D140" si="62">(D166*$P$7) + $P$9</f>
        <v>-1.9762242081094157</v>
      </c>
      <c r="E140" s="23">
        <f t="shared" si="59"/>
        <v>-1.9119984413075235</v>
      </c>
      <c r="F140" s="23">
        <f t="shared" si="57"/>
        <v>-1.8389531725925083</v>
      </c>
      <c r="G140" s="23">
        <f t="shared" si="57"/>
        <v>-1.7563241959714806</v>
      </c>
      <c r="H140" s="23">
        <f t="shared" si="57"/>
        <v>-1.6634224792242618</v>
      </c>
      <c r="I140" s="23">
        <f t="shared" si="57"/>
        <v>-1.5596844505760976</v>
      </c>
      <c r="J140" s="23">
        <f t="shared" si="57"/>
        <v>-1.4447290989073198</v>
      </c>
      <c r="K140" s="23">
        <f t="shared" si="57"/>
        <v>-1.3184185729329432</v>
      </c>
      <c r="L140" s="23">
        <f t="shared" si="57"/>
        <v>-1.1809171683011037</v>
      </c>
      <c r="M140" s="23">
        <f t="shared" si="57"/>
        <v>-1.0327419434578129</v>
      </c>
      <c r="N140" s="23">
        <f t="shared" si="57"/>
        <v>-0.87479715897291488</v>
      </c>
      <c r="O140" s="23">
        <f t="shared" si="57"/>
        <v>-0.70838479514682451</v>
      </c>
      <c r="P140" s="23">
        <f t="shared" si="57"/>
        <v>-0.53518497253275221</v>
      </c>
      <c r="Q140" s="23">
        <f t="shared" si="57"/>
        <v>-0.35720329235479165</v>
      </c>
      <c r="R140" s="23">
        <f t="shared" si="57"/>
        <v>-0.1766865963178863</v>
      </c>
      <c r="S140" s="23">
        <f t="shared" si="57"/>
        <v>3.9863872119547672E-3</v>
      </c>
      <c r="T140" s="23">
        <f t="shared" si="57"/>
        <v>0.1824287082626781</v>
      </c>
      <c r="U140" s="23">
        <f t="shared" si="57"/>
        <v>0.35636976569025602</v>
      </c>
      <c r="V140" s="23">
        <f t="shared" si="57"/>
        <v>0.52376720940263222</v>
      </c>
      <c r="W140" s="23">
        <f t="shared" si="57"/>
        <v>0.68289491510611011</v>
      </c>
      <c r="X140" s="67">
        <f t="shared" si="57"/>
        <v>0.83239993993265227</v>
      </c>
    </row>
    <row r="141" spans="2:24" x14ac:dyDescent="0.35">
      <c r="B141" s="76"/>
      <c r="C141" s="17">
        <v>0.7</v>
      </c>
      <c r="D141" s="23">
        <f t="shared" ref="D141" si="63">(D167*$P$7) + $P$9</f>
        <v>-1.9263736001810221</v>
      </c>
      <c r="E141" s="23">
        <f t="shared" si="59"/>
        <v>-1.8552702844623457</v>
      </c>
      <c r="F141" s="23">
        <f t="shared" si="57"/>
        <v>-1.7747410916686195</v>
      </c>
      <c r="G141" s="23">
        <f t="shared" si="57"/>
        <v>-1.6840770582038038</v>
      </c>
      <c r="H141" s="23">
        <f t="shared" si="57"/>
        <v>-1.5826833325699456</v>
      </c>
      <c r="I141" s="23">
        <f t="shared" si="57"/>
        <v>-1.4701350444535088</v>
      </c>
      <c r="J141" s="23">
        <f t="shared" si="57"/>
        <v>-1.3462375263465116</v>
      </c>
      <c r="K141" s="23">
        <f t="shared" si="57"/>
        <v>-1.2110861595666971</v>
      </c>
      <c r="L141" s="23">
        <f t="shared" si="57"/>
        <v>-1.0651194026328303</v>
      </c>
      <c r="M141" s="23">
        <f t="shared" si="57"/>
        <v>-0.90915734336199661</v>
      </c>
      <c r="N141" s="23">
        <f t="shared" si="57"/>
        <v>-0.74441790084578274</v>
      </c>
      <c r="O141" s="23">
        <f t="shared" si="57"/>
        <v>-0.57250402996225835</v>
      </c>
      <c r="P141" s="23">
        <f t="shared" si="57"/>
        <v>-0.39535813946836651</v>
      </c>
      <c r="Q141" s="23">
        <f t="shared" si="57"/>
        <v>-0.21518419527595656</v>
      </c>
      <c r="R141" s="23">
        <f t="shared" si="57"/>
        <v>-3.4342931901683471E-2</v>
      </c>
      <c r="S141" s="23">
        <f t="shared" si="57"/>
        <v>0.1447698364490031</v>
      </c>
      <c r="T141" s="23">
        <f t="shared" si="57"/>
        <v>0.31984876418487507</v>
      </c>
      <c r="U141" s="23">
        <f t="shared" si="57"/>
        <v>0.48879462687261221</v>
      </c>
      <c r="V141" s="23">
        <f t="shared" si="57"/>
        <v>0.64980814103409834</v>
      </c>
      <c r="W141" s="23">
        <f t="shared" si="57"/>
        <v>0.8014538674111098</v>
      </c>
      <c r="X141" s="67">
        <f t="shared" si="57"/>
        <v>0.94269099775479615</v>
      </c>
    </row>
    <row r="142" spans="2:24" x14ac:dyDescent="0.35">
      <c r="B142" s="76"/>
      <c r="C142" s="17">
        <v>0.65</v>
      </c>
      <c r="D142" s="23">
        <f t="shared" ref="D142" si="64">(D168*$P$7) + $P$9</f>
        <v>-1.8711605677409548</v>
      </c>
      <c r="E142" s="23">
        <f t="shared" si="59"/>
        <v>-1.7926988969458253</v>
      </c>
      <c r="F142" s="23">
        <f t="shared" si="57"/>
        <v>-1.7042454223915957</v>
      </c>
      <c r="G142" s="23">
        <f t="shared" si="57"/>
        <v>-1.6051765518766632</v>
      </c>
      <c r="H142" s="23">
        <f t="shared" si="57"/>
        <v>-1.495026298452323</v>
      </c>
      <c r="I142" s="23">
        <f t="shared" si="57"/>
        <v>-1.3735459103276311</v>
      </c>
      <c r="J142" s="23">
        <f t="shared" si="57"/>
        <v>-1.2407642825074143</v>
      </c>
      <c r="K142" s="23">
        <f t="shared" si="57"/>
        <v>-1.0970430474315842</v>
      </c>
      <c r="L142" s="23">
        <f t="shared" si="57"/>
        <v>-0.9431188781781108</v>
      </c>
      <c r="M142" s="23">
        <f t="shared" si="57"/>
        <v>-0.78012506787902547</v>
      </c>
      <c r="N142" s="23">
        <f t="shared" si="57"/>
        <v>-0.60958534144907706</v>
      </c>
      <c r="O142" s="23">
        <f t="shared" si="57"/>
        <v>-0.43337537002145021</v>
      </c>
      <c r="P142" s="23">
        <f t="shared" si="57"/>
        <v>-0.25365146446583076</v>
      </c>
      <c r="Q142" s="23">
        <f t="shared" si="57"/>
        <v>-7.2750809929662985E-2</v>
      </c>
      <c r="R142" s="23">
        <f t="shared" si="57"/>
        <v>0.10692764800770593</v>
      </c>
      <c r="S142" s="23">
        <f t="shared" si="57"/>
        <v>0.28304909750609664</v>
      </c>
      <c r="T142" s="23">
        <f t="shared" si="57"/>
        <v>0.45346171550063197</v>
      </c>
      <c r="U142" s="23">
        <f t="shared" si="57"/>
        <v>0.61629596291130007</v>
      </c>
      <c r="V142" s="23">
        <f t="shared" si="57"/>
        <v>0.77003529127947346</v>
      </c>
      <c r="W142" s="23">
        <f t="shared" si="57"/>
        <v>0.91355399424019934</v>
      </c>
      <c r="X142" s="67">
        <f t="shared" si="57"/>
        <v>1.0461228145820218</v>
      </c>
    </row>
    <row r="143" spans="2:24" x14ac:dyDescent="0.35">
      <c r="B143" s="76"/>
      <c r="C143" s="17">
        <v>0.6</v>
      </c>
      <c r="D143" s="23">
        <f t="shared" ref="D143" si="65">(D169*$P$7) + $P$9</f>
        <v>-1.8102041252189429</v>
      </c>
      <c r="E143" s="23">
        <f t="shared" si="59"/>
        <v>-1.7239327895381789</v>
      </c>
      <c r="F143" s="23">
        <f t="shared" si="57"/>
        <v>-1.6271674677074452</v>
      </c>
      <c r="G143" s="23">
        <f t="shared" si="57"/>
        <v>-1.5194037704981773</v>
      </c>
      <c r="H143" s="23">
        <f t="shared" si="57"/>
        <v>-1.4003416181040156</v>
      </c>
      <c r="I143" s="23">
        <f t="shared" si="57"/>
        <v>-1.2699459398225024</v>
      </c>
      <c r="J143" s="23">
        <f t="shared" si="57"/>
        <v>-1.1285034858148637</v>
      </c>
      <c r="K143" s="23">
        <f t="shared" si="57"/>
        <v>-0.97666851722659542</v>
      </c>
      <c r="L143" s="23">
        <f t="shared" si="57"/>
        <v>-0.81548943821845654</v>
      </c>
      <c r="M143" s="23">
        <f t="shared" si="57"/>
        <v>-0.64640900429685955</v>
      </c>
      <c r="N143" s="23">
        <f t="shared" si="57"/>
        <v>-0.47123290601968115</v>
      </c>
      <c r="O143" s="23">
        <f t="shared" si="57"/>
        <v>-0.29206525058729005</v>
      </c>
      <c r="P143" s="23">
        <f t="shared" si="57"/>
        <v>-0.11121423656902962</v>
      </c>
      <c r="Q143" s="23">
        <f t="shared" si="57"/>
        <v>6.8923807835300055E-2</v>
      </c>
      <c r="R143" s="23">
        <f t="shared" si="57"/>
        <v>0.24599002985514162</v>
      </c>
      <c r="S143" s="23">
        <f t="shared" si="57"/>
        <v>0.41778453483339306</v>
      </c>
      <c r="T143" s="23">
        <f t="shared" si="57"/>
        <v>0.58237074353768792</v>
      </c>
      <c r="U143" s="23">
        <f t="shared" si="57"/>
        <v>0.7381527087346651</v>
      </c>
      <c r="V143" s="23">
        <f t="shared" si="57"/>
        <v>0.88392006242068888</v>
      </c>
      <c r="W143" s="23">
        <f t="shared" si="57"/>
        <v>1.0188602125910358</v>
      </c>
      <c r="X143" s="67">
        <f t="shared" si="57"/>
        <v>1.1425416474780126</v>
      </c>
    </row>
    <row r="144" spans="2:24" x14ac:dyDescent="0.35">
      <c r="B144" s="76"/>
      <c r="C144" s="17">
        <v>0.55000000000000004</v>
      </c>
      <c r="D144" s="23">
        <f t="shared" ref="D144" si="66">(D170*$P$7) + $P$9</f>
        <v>-1.7431446984446066</v>
      </c>
      <c r="E144" s="23">
        <f t="shared" si="59"/>
        <v>-1.6486598838768152</v>
      </c>
      <c r="F144" s="23">
        <f t="shared" si="57"/>
        <v>-1.5432689405395443</v>
      </c>
      <c r="G144" s="23">
        <f t="shared" si="57"/>
        <v>-1.4266232285827956</v>
      </c>
      <c r="H144" s="23">
        <f t="shared" si="57"/>
        <v>-1.2986263092049342</v>
      </c>
      <c r="I144" s="23">
        <f t="shared" si="57"/>
        <v>-1.1594921473288338</v>
      </c>
      <c r="J144" s="23">
        <f t="shared" si="57"/>
        <v>-1.0097938247878817</v>
      </c>
      <c r="K144" s="23">
        <f t="shared" si="57"/>
        <v>-0.85049488570588139</v>
      </c>
      <c r="L144" s="23">
        <f t="shared" si="57"/>
        <v>-0.68295570019506213</v>
      </c>
      <c r="M144" s="23">
        <f t="shared" si="57"/>
        <v>-0.50890904646161328</v>
      </c>
      <c r="N144" s="23">
        <f t="shared" si="57"/>
        <v>-0.33040252912719481</v>
      </c>
      <c r="O144" s="23">
        <f t="shared" si="57"/>
        <v>-0.14971006778137674</v>
      </c>
      <c r="P144" s="23">
        <f t="shared" si="57"/>
        <v>3.078036222325542E-2</v>
      </c>
      <c r="Q144" s="23">
        <f t="shared" si="57"/>
        <v>0.20869141322993556</v>
      </c>
      <c r="R144" s="23">
        <f t="shared" si="57"/>
        <v>0.38177987843737626</v>
      </c>
      <c r="S144" s="23">
        <f t="shared" si="57"/>
        <v>0.54804565701006558</v>
      </c>
      <c r="T144" s="23">
        <f t="shared" si="57"/>
        <v>0.70581543816935066</v>
      </c>
      <c r="U144" s="23">
        <f t="shared" si="57"/>
        <v>0.85379472967417147</v>
      </c>
      <c r="V144" s="23">
        <f t="shared" si="57"/>
        <v>0.99108682422662597</v>
      </c>
      <c r="W144" s="23">
        <f t="shared" si="57"/>
        <v>1.1171817614445945</v>
      </c>
      <c r="X144" s="67">
        <f t="shared" si="57"/>
        <v>1.2319215060534479</v>
      </c>
    </row>
    <row r="145" spans="2:24" x14ac:dyDescent="0.35">
      <c r="B145" s="76"/>
      <c r="C145" s="17">
        <v>0.5</v>
      </c>
      <c r="D145" s="23">
        <f t="shared" ref="D145" si="67">(D171*$P$7) + $P$9</f>
        <v>-1.6696580219749668</v>
      </c>
      <c r="E145" s="23">
        <f t="shared" si="59"/>
        <v>-1.5666238325194084</v>
      </c>
      <c r="F145" s="23">
        <f t="shared" si="57"/>
        <v>-1.4523899834340623</v>
      </c>
      <c r="G145" s="23">
        <f t="shared" si="57"/>
        <v>-1.3268013273569546</v>
      </c>
      <c r="H145" s="23">
        <f t="shared" si="57"/>
        <v>-1.1900012775726991</v>
      </c>
      <c r="I145" s="23">
        <f t="shared" si="57"/>
        <v>-1.0424831834097028</v>
      </c>
      <c r="J145" s="23">
        <f t="shared" si="57"/>
        <v>-0.88512603864587458</v>
      </c>
      <c r="K145" s="23">
        <f t="shared" si="57"/>
        <v>-0.71920673207758634</v>
      </c>
      <c r="L145" s="23">
        <f t="shared" si="57"/>
        <v>-0.54638251566117058</v>
      </c>
      <c r="M145" s="23">
        <f t="shared" si="57"/>
        <v>-0.36864045933512557</v>
      </c>
      <c r="N145" s="23">
        <f t="shared" si="57"/>
        <v>-0.18821508137910747</v>
      </c>
      <c r="O145" s="23">
        <f t="shared" si="57"/>
        <v>-7.4803111809340628E-3</v>
      </c>
      <c r="P145" s="23">
        <f t="shared" si="57"/>
        <v>0.17117364805752056</v>
      </c>
      <c r="Q145" s="23">
        <f t="shared" si="57"/>
        <v>0.34546524843104498</v>
      </c>
      <c r="R145" s="23">
        <f t="shared" si="57"/>
        <v>0.513334678122642</v>
      </c>
      <c r="S145" s="23">
        <f t="shared" si="57"/>
        <v>0.67303362231443353</v>
      </c>
      <c r="T145" s="23">
        <f t="shared" si="57"/>
        <v>0.82318431124410019</v>
      </c>
      <c r="U145" s="23">
        <f t="shared" si="57"/>
        <v>0.96280539955521793</v>
      </c>
      <c r="V145" s="23">
        <f t="shared" si="57"/>
        <v>1.0913068736076228</v>
      </c>
      <c r="W145" s="23">
        <f t="shared" si="57"/>
        <v>1.2084596670037062</v>
      </c>
      <c r="X145" s="67">
        <f t="shared" si="57"/>
        <v>1.3143475520750578</v>
      </c>
    </row>
    <row r="146" spans="2:24" x14ac:dyDescent="0.35">
      <c r="B146" s="76"/>
      <c r="C146" s="17">
        <v>0.45</v>
      </c>
      <c r="D146" s="23">
        <f t="shared" ref="D146" si="68">(D172*$P$7) + $P$9</f>
        <v>-1.5894709876906115</v>
      </c>
      <c r="E146" s="23">
        <f t="shared" si="59"/>
        <v>-1.4776417631614285</v>
      </c>
      <c r="F146" s="23">
        <f t="shared" si="57"/>
        <v>-1.354467672227988</v>
      </c>
      <c r="G146" s="23">
        <f t="shared" si="57"/>
        <v>-1.220023930168932</v>
      </c>
      <c r="H146" s="23">
        <f t="shared" si="57"/>
        <v>-1.074725798682858</v>
      </c>
      <c r="I146" s="23">
        <f t="shared" si="57"/>
        <v>-0.91936829921975916</v>
      </c>
      <c r="J146" s="23">
        <f t="shared" si="57"/>
        <v>-0.75514405810462515</v>
      </c>
      <c r="K146" s="23">
        <f t="shared" si="57"/>
        <v>-0.58363250947472345</v>
      </c>
      <c r="L146" s="23">
        <f t="shared" si="57"/>
        <v>-0.40675643826339458</v>
      </c>
      <c r="M146" s="23">
        <f t="shared" si="57"/>
        <v>-0.22670603301178005</v>
      </c>
      <c r="N146" s="23">
        <f t="shared" si="57"/>
        <v>-4.5835555072746281E-2</v>
      </c>
      <c r="O146" s="23">
        <f t="shared" si="57"/>
        <v>0.13345764121252679</v>
      </c>
      <c r="P146" s="23">
        <f t="shared" si="57"/>
        <v>0.30885882690156929</v>
      </c>
      <c r="Q146" s="23">
        <f t="shared" si="57"/>
        <v>0.47825256863438148</v>
      </c>
      <c r="R146" s="23">
        <f t="shared" si="57"/>
        <v>0.63981822863964721</v>
      </c>
      <c r="S146" s="23">
        <f t="shared" si="57"/>
        <v>0.79209592238049398</v>
      </c>
      <c r="T146" s="23">
        <f t="shared" si="57"/>
        <v>0.93401941470842154</v>
      </c>
      <c r="U146" s="23">
        <f t="shared" si="57"/>
        <v>1.0649172355672496</v>
      </c>
      <c r="V146" s="23">
        <f t="shared" si="57"/>
        <v>1.1844870811315322</v>
      </c>
      <c r="W146" s="23">
        <f t="shared" si="57"/>
        <v>1.2927508045924494</v>
      </c>
      <c r="X146" s="67">
        <f t="shared" si="57"/>
        <v>1.3899979379958136</v>
      </c>
    </row>
    <row r="147" spans="2:24" x14ac:dyDescent="0.35">
      <c r="B147" s="76"/>
      <c r="C147" s="17">
        <v>0.4</v>
      </c>
      <c r="D147" s="23">
        <f t="shared" ref="D147" si="69">(D173*$P$7) + $P$9</f>
        <v>-1.5023790623156019</v>
      </c>
      <c r="E147" s="23">
        <f t="shared" si="59"/>
        <v>-1.3816227436386082</v>
      </c>
      <c r="F147" s="23">
        <f t="shared" si="57"/>
        <v>-1.2495539563779277</v>
      </c>
      <c r="G147" s="23">
        <f t="shared" si="57"/>
        <v>-1.1065117010859686</v>
      </c>
      <c r="H147" s="23">
        <f t="shared" si="57"/>
        <v>-0.95320785971885691</v>
      </c>
      <c r="I147" s="23">
        <f t="shared" si="57"/>
        <v>-0.79075032266208112</v>
      </c>
      <c r="J147" s="23">
        <f t="shared" si="57"/>
        <v>-0.62063873922968815</v>
      </c>
      <c r="K147" s="23">
        <f t="shared" si="57"/>
        <v>-0.44472815360190721</v>
      </c>
      <c r="L147" s="23">
        <f t="shared" si="57"/>
        <v>-0.26515971226605206</v>
      </c>
      <c r="M147" s="23">
        <f t="shared" si="57"/>
        <v>-8.4262485600398396E-2</v>
      </c>
      <c r="N147" s="23">
        <f t="shared" si="57"/>
        <v>9.5564761590040792E-2</v>
      </c>
      <c r="O147" s="23">
        <f t="shared" si="57"/>
        <v>0.27197944427155019</v>
      </c>
      <c r="P147" s="23">
        <f t="shared" si="57"/>
        <v>0.4428148603687847</v>
      </c>
      <c r="Q147" s="23">
        <f t="shared" si="57"/>
        <v>0.60618104690123542</v>
      </c>
      <c r="R147" s="23">
        <f t="shared" si="57"/>
        <v>0.76053748824285594</v>
      </c>
      <c r="S147" s="23">
        <f t="shared" si="57"/>
        <v>0.90473309093380783</v>
      </c>
      <c r="T147" s="23">
        <f t="shared" si="57"/>
        <v>1.0380137428577509</v>
      </c>
      <c r="U147" s="23">
        <f t="shared" si="57"/>
        <v>1.1600018365098554</v>
      </c>
      <c r="V147" s="23">
        <f t="shared" si="57"/>
        <v>1.2706547232322767</v>
      </c>
      <c r="W147" s="23">
        <f t="shared" si="57"/>
        <v>1.3702100269517183</v>
      </c>
      <c r="X147" s="67">
        <f t="shared" si="57"/>
        <v>1.4591253277406127</v>
      </c>
    </row>
    <row r="148" spans="2:24" x14ac:dyDescent="0.35">
      <c r="B148" s="76"/>
      <c r="C148" s="17">
        <v>0.35</v>
      </c>
      <c r="D148" s="23">
        <f t="shared" ref="D148" si="70">(D174*$P$7) + $P$9</f>
        <v>-1.4082646424548346</v>
      </c>
      <c r="E148" s="23">
        <f t="shared" si="59"/>
        <v>-1.2785859925064549</v>
      </c>
      <c r="F148" s="23">
        <f t="shared" si="57"/>
        <v>-1.1378317449995463</v>
      </c>
      <c r="G148" s="23">
        <f t="shared" si="57"/>
        <v>-0.98663171561578</v>
      </c>
      <c r="H148" s="23">
        <f t="shared" si="57"/>
        <v>-0.82600888429537944</v>
      </c>
      <c r="I148" s="23">
        <f t="shared" si="57"/>
        <v>-0.65738147317049744</v>
      </c>
      <c r="J148" s="23">
        <f t="shared" si="57"/>
        <v>-0.4825336350488314</v>
      </c>
      <c r="K148" s="23">
        <f t="shared" si="57"/>
        <v>-0.30355299859170559</v>
      </c>
      <c r="L148" s="23">
        <f t="shared" si="57"/>
        <v>-0.1227380466239727</v>
      </c>
      <c r="M148" s="23">
        <f t="shared" si="57"/>
        <v>5.7516793421119816E-2</v>
      </c>
      <c r="N148" s="23">
        <f t="shared" si="57"/>
        <v>0.23484654470363697</v>
      </c>
      <c r="O148" s="23">
        <f t="shared" si="57"/>
        <v>0.40703783513159997</v>
      </c>
      <c r="P148" s="23">
        <f t="shared" si="57"/>
        <v>0.57213468373939502</v>
      </c>
      <c r="Q148" s="23">
        <f t="shared" si="57"/>
        <v>0.72851775141706043</v>
      </c>
      <c r="R148" s="23">
        <f t="shared" si="57"/>
        <v>0.87495141199729853</v>
      </c>
      <c r="S148" s="23">
        <f t="shared" si="57"/>
        <v>1.0105979586773413</v>
      </c>
      <c r="T148" s="23">
        <f t="shared" si="57"/>
        <v>1.1350025707721216</v>
      </c>
      <c r="U148" s="23">
        <f t="shared" si="57"/>
        <v>1.2480555953010746</v>
      </c>
      <c r="V148" s="23">
        <f t="shared" si="57"/>
        <v>1.34993999584026</v>
      </c>
      <c r="W148" s="23">
        <f t="shared" si="57"/>
        <v>1.4410716620103847</v>
      </c>
      <c r="X148" s="67">
        <f t="shared" si="57"/>
        <v>1.5220390902270822</v>
      </c>
    </row>
    <row r="149" spans="2:24" x14ac:dyDescent="0.35">
      <c r="B149" s="76"/>
      <c r="C149" s="17">
        <v>0.3</v>
      </c>
      <c r="D149" s="23">
        <f t="shared" ref="D149" si="71">(D175*$P$7) + $P$9</f>
        <v>-1.3071154452651705</v>
      </c>
      <c r="E149" s="23">
        <f t="shared" si="59"/>
        <v>-1.1686776050030478</v>
      </c>
      <c r="F149" s="23">
        <f t="shared" si="57"/>
        <v>-1.0196276755121301</v>
      </c>
      <c r="G149" s="23">
        <f t="shared" si="57"/>
        <v>-0.86090384051689872</v>
      </c>
      <c r="H149" s="23">
        <f t="shared" si="57"/>
        <v>-0.69384157525790213</v>
      </c>
      <c r="I149" s="23">
        <f t="shared" si="57"/>
        <v>-0.52015130397060494</v>
      </c>
      <c r="J149" s="23">
        <f t="shared" si="57"/>
        <v>-0.34186291676778646</v>
      </c>
      <c r="K149" s="23">
        <f t="shared" si="57"/>
        <v>-0.16123906485247108</v>
      </c>
      <c r="L149" s="23">
        <f t="shared" si="57"/>
        <v>1.9335887537849317E-2</v>
      </c>
      <c r="M149" s="23">
        <f t="shared" si="57"/>
        <v>0.19748014865335084</v>
      </c>
      <c r="N149" s="23">
        <f t="shared" si="57"/>
        <v>0.37093850145271445</v>
      </c>
      <c r="O149" s="23">
        <f t="shared" si="57"/>
        <v>0.5376925542433626</v>
      </c>
      <c r="P149" s="23">
        <f t="shared" si="57"/>
        <v>0.69604627690610021</v>
      </c>
      <c r="Q149" s="23">
        <f t="shared" si="57"/>
        <v>0.84468013977372758</v>
      </c>
      <c r="R149" s="23">
        <f t="shared" si="57"/>
        <v>0.98267213657176455</v>
      </c>
      <c r="S149" s="23">
        <f t="shared" si="57"/>
        <v>1.1094884973865726</v>
      </c>
      <c r="T149" s="23">
        <f t="shared" si="57"/>
        <v>1.2249501583594964</v>
      </c>
      <c r="U149" s="23">
        <f t="shared" si="57"/>
        <v>1.3291826975562993</v>
      </c>
      <c r="V149" s="23">
        <f t="shared" si="57"/>
        <v>1.4225575668702133</v>
      </c>
      <c r="W149" s="23">
        <f t="shared" si="57"/>
        <v>1.505631442424312</v>
      </c>
      <c r="X149" s="67">
        <f t="shared" si="57"/>
        <v>1.5790888842639768</v>
      </c>
    </row>
    <row r="150" spans="2:24" x14ac:dyDescent="0.35">
      <c r="B150" s="76"/>
      <c r="C150" s="17">
        <v>0.25</v>
      </c>
      <c r="D150" s="23">
        <f t="shared" ref="D150" si="72">(D176*$P$7) + $P$9</f>
        <v>-1.1990417695804068</v>
      </c>
      <c r="E150" s="23">
        <f t="shared" si="59"/>
        <v>-1.052184368019534</v>
      </c>
      <c r="F150" s="23">
        <f t="shared" si="57"/>
        <v>-0.89542004944848186</v>
      </c>
      <c r="G150" s="23">
        <f t="shared" si="57"/>
        <v>-0.73000054117866409</v>
      </c>
      <c r="H150" s="23">
        <f t="shared" si="57"/>
        <v>-0.55756002111936676</v>
      </c>
      <c r="I150" s="23">
        <f t="shared" si="57"/>
        <v>-0.38006669162689821</v>
      </c>
      <c r="J150" s="23">
        <f t="shared" ref="F150:X155" si="73">(J176*$P$7) + $P$9</f>
        <v>-0.19974230557975226</v>
      </c>
      <c r="K150" s="23">
        <f t="shared" si="73"/>
        <v>-1.8955489187971519E-2</v>
      </c>
      <c r="L150" s="23">
        <f t="shared" si="73"/>
        <v>0.15990081270241685</v>
      </c>
      <c r="M150" s="23">
        <f t="shared" si="73"/>
        <v>0.33453456818001093</v>
      </c>
      <c r="N150" s="23">
        <f t="shared" si="73"/>
        <v>0.50286887041859574</v>
      </c>
      <c r="O150" s="23">
        <f t="shared" si="73"/>
        <v>0.66313345446402017</v>
      </c>
      <c r="P150" s="23">
        <f t="shared" si="73"/>
        <v>0.81392582786432977</v>
      </c>
      <c r="Q150" s="23">
        <f t="shared" si="73"/>
        <v>0.95423924191134724</v>
      </c>
      <c r="R150" s="23">
        <f t="shared" si="73"/>
        <v>1.0834594314406005</v>
      </c>
      <c r="S150" s="23">
        <f t="shared" si="73"/>
        <v>1.201335627173636</v>
      </c>
      <c r="T150" s="23">
        <f t="shared" si="73"/>
        <v>1.3079333370782715</v>
      </c>
      <c r="U150" s="23">
        <f t="shared" si="73"/>
        <v>1.4035768116787464</v>
      </c>
      <c r="V150" s="23">
        <f t="shared" si="73"/>
        <v>1.4887882995663555</v>
      </c>
      <c r="W150" s="23">
        <f t="shared" si="73"/>
        <v>1.5642296588120332</v>
      </c>
      <c r="X150" s="67">
        <f t="shared" si="73"/>
        <v>1.630650094969218</v>
      </c>
    </row>
    <row r="151" spans="2:24" x14ac:dyDescent="0.35">
      <c r="B151" s="76"/>
      <c r="C151" s="17">
        <v>0.2</v>
      </c>
      <c r="D151" s="23">
        <f t="shared" ref="D151" si="74">(D177*$P$7) + $P$9</f>
        <v>-1.084291245648155</v>
      </c>
      <c r="E151" s="23">
        <f t="shared" si="59"/>
        <v>-0.92954314828230888</v>
      </c>
      <c r="F151" s="23">
        <f t="shared" si="73"/>
        <v>-0.76584053144448205</v>
      </c>
      <c r="G151" s="23">
        <f t="shared" si="73"/>
        <v>-0.59473913219231456</v>
      </c>
      <c r="H151" s="23">
        <f t="shared" si="73"/>
        <v>-0.41814180176221161</v>
      </c>
      <c r="I151" s="23">
        <f t="shared" si="73"/>
        <v>-0.23822452873503686</v>
      </c>
      <c r="J151" s="23">
        <f t="shared" si="73"/>
        <v>-5.7334605992967358E-2</v>
      </c>
      <c r="K151" s="23">
        <f t="shared" si="73"/>
        <v>0.12212958682640651</v>
      </c>
      <c r="L151" s="23">
        <f t="shared" si="73"/>
        <v>0.29784441497499348</v>
      </c>
      <c r="M151" s="23">
        <f t="shared" si="73"/>
        <v>0.46767862650843539</v>
      </c>
      <c r="N151" s="23">
        <f t="shared" si="73"/>
        <v>0.6297904981533573</v>
      </c>
      <c r="O151" s="23">
        <f t="shared" si="73"/>
        <v>0.78269583308356316</v>
      </c>
      <c r="P151" s="23">
        <f t="shared" si="73"/>
        <v>0.92530297199877132</v>
      </c>
      <c r="Q151" s="23">
        <f t="shared" si="73"/>
        <v>1.0569158147919415</v>
      </c>
      <c r="R151" s="23">
        <f t="shared" si="73"/>
        <v>1.1772097206478156</v>
      </c>
      <c r="S151" s="23">
        <f t="shared" si="73"/>
        <v>1.286187497595165</v>
      </c>
      <c r="T151" s="23">
        <f t="shared" si="73"/>
        <v>1.384123425460341</v>
      </c>
      <c r="U151" s="23">
        <f t="shared" si="73"/>
        <v>1.4715026692334623</v>
      </c>
      <c r="V151" s="23">
        <f t="shared" si="73"/>
        <v>1.5489620124038554</v>
      </c>
      <c r="W151" s="23">
        <f t="shared" si="73"/>
        <v>1.6172360639767553</v>
      </c>
      <c r="X151" s="67">
        <f t="shared" si="73"/>
        <v>1.6771113575871126</v>
      </c>
    </row>
    <row r="152" spans="2:24" x14ac:dyDescent="0.35">
      <c r="B152" s="76"/>
      <c r="C152" s="17">
        <v>0.15</v>
      </c>
      <c r="D152" s="23">
        <f t="shared" ref="D152" si="75">(D178*$P$7) + $P$9</f>
        <v>-0.96325956856453665</v>
      </c>
      <c r="E152" s="23">
        <f t="shared" si="59"/>
        <v>-0.80134440148123653</v>
      </c>
      <c r="F152" s="23">
        <f t="shared" si="73"/>
        <v>-0.63166851103538901</v>
      </c>
      <c r="G152" s="23">
        <f t="shared" si="73"/>
        <v>-0.45606603195056961</v>
      </c>
      <c r="H152" s="23">
        <f t="shared" si="73"/>
        <v>-0.27666254496091414</v>
      </c>
      <c r="I152" s="23">
        <f t="shared" si="73"/>
        <v>-9.5778521704006803E-2</v>
      </c>
      <c r="J152" s="23">
        <f t="shared" si="73"/>
        <v>8.418796927110983E-2</v>
      </c>
      <c r="K152" s="23">
        <f t="shared" si="73"/>
        <v>0.2608870597823798</v>
      </c>
      <c r="L152" s="23">
        <f t="shared" si="73"/>
        <v>0.4321375811417274</v>
      </c>
      <c r="M152" s="23">
        <f t="shared" si="73"/>
        <v>0.59602944301902649</v>
      </c>
      <c r="N152" s="23">
        <f t="shared" si="73"/>
        <v>0.75099832466280625</v>
      </c>
      <c r="O152" s="23">
        <f t="shared" si="73"/>
        <v>0.89586777464352618</v>
      </c>
      <c r="P152" s="23">
        <f t="shared" si="73"/>
        <v>1.0298587404377995</v>
      </c>
      <c r="Q152" s="23">
        <f t="shared" si="73"/>
        <v>1.1525706886212903</v>
      </c>
      <c r="R152" s="23">
        <f t="shared" si="73"/>
        <v>1.2639411669816072</v>
      </c>
      <c r="S152" s="23">
        <f t="shared" si="73"/>
        <v>1.3641917211066787</v>
      </c>
      <c r="T152" s="23">
        <f t="shared" si="73"/>
        <v>1.4537677351663811</v>
      </c>
      <c r="U152" s="23">
        <f t="shared" si="73"/>
        <v>1.5332784749391801</v>
      </c>
      <c r="V152" s="23">
        <f t="shared" si="73"/>
        <v>1.6034418722144508</v>
      </c>
      <c r="W152" s="23">
        <f t="shared" si="73"/>
        <v>1.6650368204563408</v>
      </c>
      <c r="X152" s="67">
        <f t="shared" si="73"/>
        <v>1.7188642250146782</v>
      </c>
    </row>
    <row r="153" spans="2:24" x14ac:dyDescent="0.35">
      <c r="B153" s="76"/>
      <c r="C153" s="17">
        <v>0.1</v>
      </c>
      <c r="D153" s="23">
        <f t="shared" ref="D153" si="76">(D179*$P$7) + $P$9</f>
        <v>-0.83649572863207622</v>
      </c>
      <c r="E153" s="23">
        <f t="shared" si="59"/>
        <v>-0.66832860031306707</v>
      </c>
      <c r="F153" s="23">
        <f t="shared" si="73"/>
        <v>-0.49381752403618062</v>
      </c>
      <c r="G153" s="23">
        <f t="shared" si="73"/>
        <v>-0.31503327143152537</v>
      </c>
      <c r="H153" s="23">
        <f t="shared" si="73"/>
        <v>-0.13426413928904557</v>
      </c>
      <c r="I153" s="23">
        <f t="shared" si="73"/>
        <v>4.6097859231601479E-2</v>
      </c>
      <c r="J153" s="23">
        <f t="shared" si="73"/>
        <v>0.22368212336827908</v>
      </c>
      <c r="K153" s="23">
        <f t="shared" si="73"/>
        <v>0.39626223629802948</v>
      </c>
      <c r="L153" s="23">
        <f t="shared" si="73"/>
        <v>0.56186313878572602</v>
      </c>
      <c r="M153" s="23">
        <f t="shared" si="73"/>
        <v>0.71884229102518304</v>
      </c>
      <c r="N153" s="23">
        <f t="shared" si="73"/>
        <v>0.86593886503887751</v>
      </c>
      <c r="O153" s="23">
        <f t="shared" si="73"/>
        <v>1.0022899759480386</v>
      </c>
      <c r="P153" s="23">
        <f t="shared" si="73"/>
        <v>1.1274173384038086</v>
      </c>
      <c r="Q153" s="23">
        <f t="shared" si="73"/>
        <v>1.2411907645327676</v>
      </c>
      <c r="R153" s="23">
        <f t="shared" si="73"/>
        <v>1.3437763201846877</v>
      </c>
      <c r="S153" s="23">
        <f t="shared" si="73"/>
        <v>1.4355768788264058</v>
      </c>
      <c r="T153" s="23">
        <f t="shared" si="73"/>
        <v>1.5171716797280652</v>
      </c>
      <c r="U153" s="23">
        <f t="shared" si="73"/>
        <v>1.5892598141660095</v>
      </c>
      <c r="V153" s="23">
        <f t="shared" si="73"/>
        <v>1.6526107725147985</v>
      </c>
      <c r="W153" s="23">
        <f t="shared" si="73"/>
        <v>1.7080235915793378</v>
      </c>
      <c r="X153" s="67">
        <f t="shared" si="73"/>
        <v>1.756294902702725</v>
      </c>
    </row>
    <row r="154" spans="2:24" x14ac:dyDescent="0.35">
      <c r="B154" s="76"/>
      <c r="C154" s="17">
        <v>0.05</v>
      </c>
      <c r="D154" s="23">
        <f t="shared" ref="D154" si="77">(D180*$P$7) + $P$9</f>
        <v>-0.70470044948642085</v>
      </c>
      <c r="E154" s="23">
        <f t="shared" si="59"/>
        <v>-0.53137482603261033</v>
      </c>
      <c r="F154" s="23">
        <f t="shared" si="73"/>
        <v>-0.35331378712590933</v>
      </c>
      <c r="G154" s="23">
        <f t="shared" si="73"/>
        <v>-0.17276826120305255</v>
      </c>
      <c r="H154" s="23">
        <f t="shared" si="73"/>
        <v>7.8815075462235207E-3</v>
      </c>
      <c r="I154" s="23">
        <f t="shared" si="73"/>
        <v>0.18624979104389139</v>
      </c>
      <c r="J154" s="23">
        <f t="shared" si="73"/>
        <v>0.36006981310303421</v>
      </c>
      <c r="K154" s="23">
        <f t="shared" si="73"/>
        <v>0.52730524050155192</v>
      </c>
      <c r="L154" s="23">
        <f t="shared" si="73"/>
        <v>0.68623754399406445</v>
      </c>
      <c r="M154" s="23">
        <f t="shared" si="73"/>
        <v>0.83552224077843951</v>
      </c>
      <c r="N154" s="23">
        <f t="shared" si="73"/>
        <v>0.97421198580446089</v>
      </c>
      <c r="O154" s="23">
        <f t="shared" si="73"/>
        <v>1.1017490609178648</v>
      </c>
      <c r="P154" s="23">
        <f t="shared" si="73"/>
        <v>1.2179331678627727</v>
      </c>
      <c r="Q154" s="23">
        <f t="shared" si="73"/>
        <v>1.3228721782913921</v>
      </c>
      <c r="R154" s="23">
        <f t="shared" si="73"/>
        <v>1.4169237017196452</v>
      </c>
      <c r="S154" s="23">
        <f t="shared" si="73"/>
        <v>1.5006343820297252</v>
      </c>
      <c r="T154" s="23">
        <f t="shared" si="73"/>
        <v>1.5746822264775406</v>
      </c>
      <c r="U154" s="23">
        <f t="shared" si="73"/>
        <v>1.6398254725459906</v>
      </c>
      <c r="V154" s="23">
        <f t="shared" si="73"/>
        <v>1.6968598445502461</v>
      </c>
      <c r="W154" s="23">
        <f t="shared" si="73"/>
        <v>1.7465847310259761</v>
      </c>
      <c r="X154" s="67">
        <f t="shared" si="73"/>
        <v>1.7897778855013651</v>
      </c>
    </row>
    <row r="155" spans="2:24" ht="15" thickBot="1" x14ac:dyDescent="0.4">
      <c r="B155" s="77"/>
      <c r="C155" s="18">
        <v>0</v>
      </c>
      <c r="D155" s="23">
        <f t="shared" ref="D155" si="78">(D181*$P$7) + $P$9</f>
        <v>-0.56871693921587285</v>
      </c>
      <c r="E155" s="23">
        <f t="shared" si="59"/>
        <v>-0.39148138727624504</v>
      </c>
      <c r="F155" s="23">
        <f t="shared" si="73"/>
        <v>-0.21126764524812369</v>
      </c>
      <c r="G155" s="23">
        <f t="shared" si="73"/>
        <v>-3.0438534365628378E-2</v>
      </c>
      <c r="H155" s="23">
        <f t="shared" si="73"/>
        <v>0.14861077171355896</v>
      </c>
      <c r="I155" s="23">
        <f t="shared" si="73"/>
        <v>0.32357822448853968</v>
      </c>
      <c r="J155" s="23">
        <f t="shared" si="73"/>
        <v>0.49237019606751975</v>
      </c>
      <c r="K155" s="23">
        <f t="shared" si="73"/>
        <v>0.65319472030769177</v>
      </c>
      <c r="L155" s="23">
        <f t="shared" si="73"/>
        <v>0.80462469485204169</v>
      </c>
      <c r="M155" s="23">
        <f t="shared" si="73"/>
        <v>0.94562795248503173</v>
      </c>
      <c r="N155" s="23">
        <f t="shared" si="73"/>
        <v>1.0755658563087667</v>
      </c>
      <c r="O155" s="23">
        <f t="shared" si="73"/>
        <v>1.1941657398623562</v>
      </c>
      <c r="P155" s="23">
        <f t="shared" si="73"/>
        <v>1.3014746108887101</v>
      </c>
      <c r="Q155" s="23">
        <f t="shared" si="73"/>
        <v>1.3978020484519391</v>
      </c>
      <c r="R155" s="23">
        <f t="shared" si="73"/>
        <v>1.4836594784285331</v>
      </c>
      <c r="S155" s="23">
        <f t="shared" si="73"/>
        <v>1.5597015033669464</v>
      </c>
      <c r="T155" s="23">
        <f t="shared" si="73"/>
        <v>1.626673171656442</v>
      </c>
      <c r="U155" s="23">
        <f t="shared" si="73"/>
        <v>1.6853653659851116</v>
      </c>
      <c r="V155" s="23">
        <f t="shared" si="73"/>
        <v>1.7365790906837859</v>
      </c>
      <c r="W155" s="23">
        <f t="shared" si="73"/>
        <v>1.781098425582909</v>
      </c>
      <c r="X155" s="68">
        <f t="shared" si="73"/>
        <v>1.8196712789043852</v>
      </c>
    </row>
    <row r="156" spans="2:24" x14ac:dyDescent="0.35">
      <c r="C156" s="6"/>
      <c r="D156" s="21">
        <v>0</v>
      </c>
      <c r="E156" s="19">
        <v>0.05</v>
      </c>
      <c r="F156" s="19">
        <v>0.1</v>
      </c>
      <c r="G156" s="19">
        <v>0.15</v>
      </c>
      <c r="H156" s="19">
        <v>0.2</v>
      </c>
      <c r="I156" s="19">
        <v>0.25</v>
      </c>
      <c r="J156" s="19">
        <v>0.3</v>
      </c>
      <c r="K156" s="19">
        <v>0.35</v>
      </c>
      <c r="L156" s="19">
        <v>0.4</v>
      </c>
      <c r="M156" s="19">
        <v>0.45</v>
      </c>
      <c r="N156" s="19">
        <v>0.5</v>
      </c>
      <c r="O156" s="19">
        <v>0.55000000000000004</v>
      </c>
      <c r="P156" s="19">
        <v>0.6</v>
      </c>
      <c r="Q156" s="19">
        <v>0.65</v>
      </c>
      <c r="R156" s="19">
        <v>0.7</v>
      </c>
      <c r="S156" s="19">
        <v>0.75</v>
      </c>
      <c r="T156" s="19">
        <v>0.8</v>
      </c>
      <c r="U156" s="19">
        <v>0.85</v>
      </c>
      <c r="V156" s="19">
        <v>0.9</v>
      </c>
      <c r="W156" s="19">
        <v>0.95</v>
      </c>
      <c r="X156" s="20">
        <v>1</v>
      </c>
    </row>
    <row r="157" spans="2:24" ht="21.5" thickBot="1" x14ac:dyDescent="0.55000000000000004">
      <c r="C157" s="6"/>
      <c r="D157" s="78" t="s">
        <v>51</v>
      </c>
      <c r="E157" s="79"/>
      <c r="F157" s="79"/>
      <c r="G157" s="79"/>
      <c r="H157" s="79"/>
      <c r="I157" s="79"/>
      <c r="J157" s="79"/>
      <c r="K157" s="79"/>
      <c r="L157" s="79"/>
      <c r="M157" s="79"/>
      <c r="N157" s="79"/>
      <c r="O157" s="79"/>
      <c r="P157" s="79"/>
      <c r="Q157" s="79"/>
      <c r="R157" s="79"/>
      <c r="S157" s="79"/>
      <c r="T157" s="79"/>
      <c r="U157" s="79"/>
      <c r="V157" s="79"/>
      <c r="W157" s="79"/>
      <c r="X157" s="80"/>
    </row>
    <row r="159" spans="2:24" ht="15" thickBot="1" x14ac:dyDescent="0.4"/>
    <row r="160" spans="2:24" ht="21.5" thickBot="1" x14ac:dyDescent="0.55000000000000004">
      <c r="B160" s="81" t="s">
        <v>12</v>
      </c>
      <c r="C160" s="82"/>
      <c r="D160" s="82"/>
      <c r="E160" s="82"/>
      <c r="F160" s="82"/>
      <c r="G160" s="82"/>
      <c r="H160" s="82"/>
      <c r="I160" s="82"/>
      <c r="J160" s="82"/>
      <c r="K160" s="82"/>
      <c r="L160" s="82"/>
      <c r="M160" s="82"/>
      <c r="N160" s="82"/>
      <c r="O160" s="82"/>
      <c r="P160" s="82"/>
      <c r="Q160" s="82"/>
      <c r="R160" s="82"/>
      <c r="S160" s="82"/>
      <c r="T160" s="82"/>
      <c r="U160" s="82"/>
      <c r="V160" s="82"/>
      <c r="W160" s="82"/>
      <c r="X160" s="83"/>
    </row>
    <row r="161" spans="2:24" x14ac:dyDescent="0.35">
      <c r="B161" s="75" t="s">
        <v>2</v>
      </c>
      <c r="C161" s="20">
        <v>1</v>
      </c>
      <c r="D161" s="25">
        <f>1/(1+EXP(-D187))</f>
        <v>0.9498165467241676</v>
      </c>
      <c r="E161" s="24">
        <f>1/(1+EXP(-E187))</f>
        <v>0.94143288161779914</v>
      </c>
      <c r="F161" s="24">
        <f t="shared" ref="F161:X161" si="79">1/(1+EXP(-F187))</f>
        <v>0.9317492794805593</v>
      </c>
      <c r="G161" s="24">
        <f t="shared" si="79"/>
        <v>0.92059960874819347</v>
      </c>
      <c r="H161" s="24">
        <f t="shared" si="79"/>
        <v>0.90780871167746635</v>
      </c>
      <c r="I161" s="24">
        <f t="shared" si="79"/>
        <v>0.89319633588944103</v>
      </c>
      <c r="J161" s="24">
        <f t="shared" si="79"/>
        <v>0.87658276100309851</v>
      </c>
      <c r="K161" s="24">
        <f t="shared" si="79"/>
        <v>0.85779634083301537</v>
      </c>
      <c r="L161" s="24">
        <f t="shared" si="79"/>
        <v>0.83668305814848354</v>
      </c>
      <c r="M161" s="24">
        <f t="shared" si="79"/>
        <v>0.81311798343798947</v>
      </c>
      <c r="N161" s="24">
        <f t="shared" si="79"/>
        <v>0.78701823494774981</v>
      </c>
      <c r="O161" s="24">
        <f t="shared" si="79"/>
        <v>0.75835666689835834</v>
      </c>
      <c r="P161" s="24">
        <f t="shared" si="79"/>
        <v>0.72717510706235566</v>
      </c>
      <c r="Q161" s="24">
        <f t="shared" si="79"/>
        <v>0.69359559838085572</v>
      </c>
      <c r="R161" s="24">
        <f t="shared" si="79"/>
        <v>0.65782787580037372</v>
      </c>
      <c r="S161" s="24">
        <f t="shared" si="79"/>
        <v>0.62017134252922812</v>
      </c>
      <c r="T161" s="24">
        <f t="shared" si="79"/>
        <v>0.58101018758473988</v>
      </c>
      <c r="U161" s="24">
        <f t="shared" si="79"/>
        <v>0.54080102873198854</v>
      </c>
      <c r="V161" s="24">
        <f t="shared" si="79"/>
        <v>0.50005348969599595</v>
      </c>
      <c r="W161" s="24">
        <f t="shared" si="79"/>
        <v>0.45930524014956448</v>
      </c>
      <c r="X161" s="26">
        <f t="shared" si="79"/>
        <v>0.41909398714390989</v>
      </c>
    </row>
    <row r="162" spans="2:24" x14ac:dyDescent="0.35">
      <c r="B162" s="76"/>
      <c r="C162" s="17">
        <v>0.95</v>
      </c>
      <c r="D162" s="27">
        <f>1/(1+EXP(-D188))</f>
        <v>0.94331985489086145</v>
      </c>
      <c r="E162" s="23">
        <f t="shared" ref="E162:X162" si="80">1/(1+EXP(-E188))</f>
        <v>0.93392635145460701</v>
      </c>
      <c r="F162" s="23">
        <f t="shared" si="80"/>
        <v>0.92310298261150525</v>
      </c>
      <c r="G162" s="23">
        <f t="shared" si="80"/>
        <v>0.91067623397694797</v>
      </c>
      <c r="H162" s="23">
        <f t="shared" si="80"/>
        <v>0.89646652710397612</v>
      </c>
      <c r="I162" s="23">
        <f t="shared" si="80"/>
        <v>0.88029346422100352</v>
      </c>
      <c r="J162" s="23">
        <f t="shared" si="80"/>
        <v>0.86198294946001808</v>
      </c>
      <c r="K162" s="23">
        <f t="shared" si="80"/>
        <v>0.84137631625546827</v>
      </c>
      <c r="L162" s="23">
        <f t="shared" si="80"/>
        <v>0.81834140350682116</v>
      </c>
      <c r="M162" s="23">
        <f t="shared" si="80"/>
        <v>0.79278524752889012</v>
      </c>
      <c r="N162" s="23">
        <f t="shared" si="80"/>
        <v>0.76466770032465325</v>
      </c>
      <c r="O162" s="23">
        <f t="shared" si="80"/>
        <v>0.73401488142981719</v>
      </c>
      <c r="P162" s="23">
        <f t="shared" si="80"/>
        <v>0.70093098784496</v>
      </c>
      <c r="Q162" s="23">
        <f t="shared" si="80"/>
        <v>0.66560672303788526</v>
      </c>
      <c r="R162" s="23">
        <f t="shared" si="80"/>
        <v>0.6283225755692351</v>
      </c>
      <c r="S162" s="23">
        <f t="shared" si="80"/>
        <v>0.58944547763203481</v>
      </c>
      <c r="T162" s="23">
        <f t="shared" si="80"/>
        <v>0.54941804156906127</v>
      </c>
      <c r="U162" s="23">
        <f t="shared" si="80"/>
        <v>0.50874054953419279</v>
      </c>
      <c r="V162" s="23">
        <f t="shared" si="80"/>
        <v>0.46794699091003672</v>
      </c>
      <c r="W162" s="23">
        <f t="shared" si="80"/>
        <v>0.4275774583503324</v>
      </c>
      <c r="X162" s="28">
        <f t="shared" si="80"/>
        <v>0.38814987208123447</v>
      </c>
    </row>
    <row r="163" spans="2:24" x14ac:dyDescent="0.35">
      <c r="B163" s="76"/>
      <c r="C163" s="17">
        <v>0.9</v>
      </c>
      <c r="D163" s="27">
        <f t="shared" ref="D163:X163" si="81">1/(1+EXP(-D189))</f>
        <v>0.93603874597387193</v>
      </c>
      <c r="E163" s="23">
        <f t="shared" si="81"/>
        <v>0.92553381325149964</v>
      </c>
      <c r="F163" s="23">
        <f t="shared" si="81"/>
        <v>0.91346306691526324</v>
      </c>
      <c r="G163" s="23">
        <f t="shared" si="81"/>
        <v>0.89964783893173805</v>
      </c>
      <c r="H163" s="23">
        <f t="shared" si="81"/>
        <v>0.88390737592656488</v>
      </c>
      <c r="I163" s="23">
        <f t="shared" si="81"/>
        <v>0.86606554560084903</v>
      </c>
      <c r="J163" s="23">
        <f t="shared" si="81"/>
        <v>0.84595953449821637</v>
      </c>
      <c r="K163" s="23">
        <f t="shared" si="81"/>
        <v>0.82345052679980291</v>
      </c>
      <c r="L163" s="23">
        <f t="shared" si="81"/>
        <v>0.79843609716743913</v>
      </c>
      <c r="M163" s="23">
        <f t="shared" si="81"/>
        <v>0.77086370955884809</v>
      </c>
      <c r="N163" s="23">
        <f t="shared" si="81"/>
        <v>0.74074431614102043</v>
      </c>
      <c r="O163" s="23">
        <f t="shared" si="81"/>
        <v>0.70816465598690614</v>
      </c>
      <c r="P163" s="23">
        <f t="shared" si="81"/>
        <v>0.6732965549443275</v>
      </c>
      <c r="Q163" s="23">
        <f t="shared" si="81"/>
        <v>0.63640143874154786</v>
      </c>
      <c r="R163" s="23">
        <f t="shared" si="81"/>
        <v>0.59782849505647284</v>
      </c>
      <c r="S163" s="23">
        <f t="shared" si="81"/>
        <v>0.5580055109870885</v>
      </c>
      <c r="T163" s="23">
        <f t="shared" si="81"/>
        <v>0.51742233411954897</v>
      </c>
      <c r="U163" s="23">
        <f t="shared" si="81"/>
        <v>0.47660801328666053</v>
      </c>
      <c r="V163" s="23">
        <f t="shared" si="81"/>
        <v>0.43610373561818716</v>
      </c>
      <c r="W163" s="23">
        <f t="shared" si="81"/>
        <v>0.39643442998421624</v>
      </c>
      <c r="X163" s="28">
        <f t="shared" si="81"/>
        <v>0.35808215329814569</v>
      </c>
    </row>
    <row r="164" spans="2:24" x14ac:dyDescent="0.35">
      <c r="B164" s="76"/>
      <c r="C164" s="17">
        <v>0.85</v>
      </c>
      <c r="D164" s="27">
        <f t="shared" ref="D164:X164" si="82">1/(1+EXP(-D190))</f>
        <v>0.92789380403468869</v>
      </c>
      <c r="E164" s="23">
        <f t="shared" si="82"/>
        <v>0.91617095640455704</v>
      </c>
      <c r="F164" s="23">
        <f t="shared" si="82"/>
        <v>0.90274200269817395</v>
      </c>
      <c r="G164" s="23">
        <f t="shared" si="82"/>
        <v>0.88742613684961913</v>
      </c>
      <c r="H164" s="23">
        <f t="shared" si="82"/>
        <v>0.87004558376757068</v>
      </c>
      <c r="I164" s="23">
        <f t="shared" si="82"/>
        <v>0.85043386732562598</v>
      </c>
      <c r="J164" s="23">
        <f t="shared" si="82"/>
        <v>0.82844608002258913</v>
      </c>
      <c r="K164" s="23">
        <f t="shared" si="82"/>
        <v>0.80397094941822844</v>
      </c>
      <c r="L164" s="23">
        <f t="shared" si="82"/>
        <v>0.77694417197144361</v>
      </c>
      <c r="M164" s="23">
        <f t="shared" si="82"/>
        <v>0.74736209531156961</v>
      </c>
      <c r="N164" s="23">
        <f t="shared" si="82"/>
        <v>0.7152944280682183</v>
      </c>
      <c r="O164" s="23">
        <f t="shared" si="82"/>
        <v>0.68089432853758947</v>
      </c>
      <c r="P164" s="23">
        <f t="shared" si="82"/>
        <v>0.64440408010599814</v>
      </c>
      <c r="Q164" s="23">
        <f t="shared" si="82"/>
        <v>0.60615471154027301</v>
      </c>
      <c r="R164" s="23">
        <f t="shared" si="82"/>
        <v>0.56655843235088532</v>
      </c>
      <c r="S164" s="23">
        <f t="shared" si="82"/>
        <v>0.52609361321970138</v>
      </c>
      <c r="T164" s="23">
        <f t="shared" si="82"/>
        <v>0.48528312702728077</v>
      </c>
      <c r="U164" s="23">
        <f t="shared" si="82"/>
        <v>0.44466795869906695</v>
      </c>
      <c r="V164" s="23">
        <f t="shared" si="82"/>
        <v>0.40477883098631662</v>
      </c>
      <c r="W164" s="23">
        <f t="shared" si="82"/>
        <v>0.3661089584938611</v>
      </c>
      <c r="X164" s="28">
        <f t="shared" si="82"/>
        <v>0.32909083366455766</v>
      </c>
    </row>
    <row r="165" spans="2:24" x14ac:dyDescent="0.35">
      <c r="B165" s="76"/>
      <c r="C165" s="17">
        <v>0.8</v>
      </c>
      <c r="D165" s="27">
        <f t="shared" ref="D165:X165" si="83">1/(1+EXP(-D191))</f>
        <v>0.91880164348327376</v>
      </c>
      <c r="E165" s="23">
        <f t="shared" si="83"/>
        <v>0.90575075853567533</v>
      </c>
      <c r="F165" s="23">
        <f t="shared" si="83"/>
        <v>0.89085141434082138</v>
      </c>
      <c r="G165" s="23">
        <f t="shared" si="83"/>
        <v>0.87392456704838151</v>
      </c>
      <c r="H165" s="23">
        <f t="shared" si="83"/>
        <v>0.85480054334155131</v>
      </c>
      <c r="I165" s="23">
        <f t="shared" si="83"/>
        <v>0.83332889201296145</v>
      </c>
      <c r="J165" s="23">
        <f t="shared" si="83"/>
        <v>0.80939010028429181</v>
      </c>
      <c r="K165" s="23">
        <f t="shared" si="83"/>
        <v>0.7829087211378325</v>
      </c>
      <c r="L165" s="23">
        <f t="shared" si="83"/>
        <v>0.75386707891156091</v>
      </c>
      <c r="M165" s="23">
        <f t="shared" si="83"/>
        <v>0.72231831498041044</v>
      </c>
      <c r="N165" s="23">
        <f t="shared" si="83"/>
        <v>0.68839718303797004</v>
      </c>
      <c r="O165" s="23">
        <f t="shared" si="83"/>
        <v>0.65232681118560276</v>
      </c>
      <c r="P165" s="23">
        <f t="shared" si="83"/>
        <v>0.61441972800575329</v>
      </c>
      <c r="Q165" s="23">
        <f t="shared" si="83"/>
        <v>0.57507188273531085</v>
      </c>
      <c r="R165" s="23">
        <f t="shared" si="83"/>
        <v>0.53474918191425025</v>
      </c>
      <c r="S165" s="23">
        <f t="shared" si="83"/>
        <v>0.49396711797762516</v>
      </c>
      <c r="T165" s="23">
        <f t="shared" si="83"/>
        <v>0.45326517799271149</v>
      </c>
      <c r="U165" s="23">
        <f t="shared" si="83"/>
        <v>0.41317863478057948</v>
      </c>
      <c r="V165" s="23">
        <f t="shared" si="83"/>
        <v>0.37421080201253404</v>
      </c>
      <c r="W165" s="23">
        <f t="shared" si="83"/>
        <v>0.33680874893880752</v>
      </c>
      <c r="X165" s="28">
        <f t="shared" si="83"/>
        <v>0.30134484291549446</v>
      </c>
    </row>
    <row r="166" spans="2:24" x14ac:dyDescent="0.35">
      <c r="B166" s="76"/>
      <c r="C166" s="17">
        <v>0.75</v>
      </c>
      <c r="D166" s="27">
        <f t="shared" ref="D166:X166" si="84">1/(1+EXP(-D192))</f>
        <v>0.90867585213489332</v>
      </c>
      <c r="E166" s="23">
        <f t="shared" si="84"/>
        <v>0.89418489822872382</v>
      </c>
      <c r="F166" s="23">
        <f t="shared" si="84"/>
        <v>0.87770404210631991</v>
      </c>
      <c r="G166" s="23">
        <f t="shared" si="84"/>
        <v>0.85906085960882428</v>
      </c>
      <c r="H166" s="23">
        <f t="shared" si="84"/>
        <v>0.83809988767772226</v>
      </c>
      <c r="I166" s="23">
        <f t="shared" si="84"/>
        <v>0.81469397029732982</v>
      </c>
      <c r="J166" s="23">
        <f t="shared" si="84"/>
        <v>0.78875714174317557</v>
      </c>
      <c r="K166" s="23">
        <f t="shared" si="84"/>
        <v>0.76025829928630673</v>
      </c>
      <c r="L166" s="23">
        <f t="shared" si="84"/>
        <v>0.72923451217140001</v>
      </c>
      <c r="M166" s="23">
        <f t="shared" si="84"/>
        <v>0.69580244183328177</v>
      </c>
      <c r="N166" s="23">
        <f t="shared" si="84"/>
        <v>0.6601661122780369</v>
      </c>
      <c r="O166" s="23">
        <f t="shared" si="84"/>
        <v>0.62261928312052894</v>
      </c>
      <c r="P166" s="23">
        <f t="shared" si="84"/>
        <v>0.58354103196007234</v>
      </c>
      <c r="Q166" s="23">
        <f t="shared" si="84"/>
        <v>0.54338387304974156</v>
      </c>
      <c r="R166" s="23">
        <f t="shared" si="84"/>
        <v>0.50265475058346454</v>
      </c>
      <c r="S166" s="23">
        <f t="shared" si="84"/>
        <v>0.46189036571443226</v>
      </c>
      <c r="T166" s="23">
        <f t="shared" si="84"/>
        <v>0.42162927459765392</v>
      </c>
      <c r="U166" s="23">
        <f t="shared" si="84"/>
        <v>0.38238378215615054</v>
      </c>
      <c r="V166" s="23">
        <f t="shared" si="84"/>
        <v>0.34461469411506879</v>
      </c>
      <c r="W166" s="23">
        <f t="shared" si="84"/>
        <v>0.3087114676786088</v>
      </c>
      <c r="X166" s="28">
        <f t="shared" si="84"/>
        <v>0.27497936090307201</v>
      </c>
    </row>
    <row r="167" spans="2:24" x14ac:dyDescent="0.35">
      <c r="B167" s="76"/>
      <c r="C167" s="17">
        <v>0.7</v>
      </c>
      <c r="D167" s="27">
        <f t="shared" ref="D167:X167" si="85">1/(1+EXP(-D193))</f>
        <v>0.89742829686765757</v>
      </c>
      <c r="E167" s="23">
        <f t="shared" si="85"/>
        <v>0.88138559435180686</v>
      </c>
      <c r="F167" s="23">
        <f t="shared" si="85"/>
        <v>0.86321617607962908</v>
      </c>
      <c r="G167" s="23">
        <f t="shared" si="85"/>
        <v>0.84276008197119179</v>
      </c>
      <c r="H167" s="23">
        <f t="shared" si="85"/>
        <v>0.81988309851582641</v>
      </c>
      <c r="I167" s="23">
        <f t="shared" si="85"/>
        <v>0.79448936424801664</v>
      </c>
      <c r="J167" s="23">
        <f t="shared" si="85"/>
        <v>0.76653495726498611</v>
      </c>
      <c r="K167" s="23">
        <f t="shared" si="85"/>
        <v>0.73604139799923041</v>
      </c>
      <c r="L167" s="23">
        <f t="shared" si="85"/>
        <v>0.70310761375830177</v>
      </c>
      <c r="M167" s="23">
        <f t="shared" si="85"/>
        <v>0.66791863705092913</v>
      </c>
      <c r="N167" s="23">
        <f t="shared" si="85"/>
        <v>0.63074926116174646</v>
      </c>
      <c r="O167" s="23">
        <f t="shared" si="85"/>
        <v>0.59196115316626607</v>
      </c>
      <c r="P167" s="23">
        <f t="shared" si="85"/>
        <v>0.55199256950213593</v>
      </c>
      <c r="Q167" s="23">
        <f t="shared" si="85"/>
        <v>0.51134078050227216</v>
      </c>
      <c r="R167" s="23">
        <f t="shared" si="85"/>
        <v>0.47053842745332658</v>
      </c>
      <c r="S167" s="23">
        <f t="shared" si="85"/>
        <v>0.43012606650507623</v>
      </c>
      <c r="T167" s="23">
        <f t="shared" si="85"/>
        <v>0.39062384180470316</v>
      </c>
      <c r="U167" s="23">
        <f t="shared" si="85"/>
        <v>0.35250539136412518</v>
      </c>
      <c r="V167" s="23">
        <f t="shared" si="85"/>
        <v>0.31617667894592283</v>
      </c>
      <c r="W167" s="23">
        <f t="shared" si="85"/>
        <v>0.28196157587404902</v>
      </c>
      <c r="X167" s="28">
        <f t="shared" si="85"/>
        <v>0.25009491475713236</v>
      </c>
    </row>
    <row r="168" spans="2:24" x14ac:dyDescent="0.35">
      <c r="B168" s="76"/>
      <c r="C168" s="17">
        <v>0.65</v>
      </c>
      <c r="D168" s="27">
        <f t="shared" ref="D168:X168" si="86">1/(1+EXP(-D194))</f>
        <v>0.88497084329490727</v>
      </c>
      <c r="E168" s="23">
        <f t="shared" si="86"/>
        <v>0.86726791016527482</v>
      </c>
      <c r="F168" s="23">
        <f t="shared" si="86"/>
        <v>0.84731057393666132</v>
      </c>
      <c r="G168" s="23">
        <f t="shared" si="86"/>
        <v>0.82495813647030369</v>
      </c>
      <c r="H168" s="23">
        <f t="shared" si="86"/>
        <v>0.80010545935009869</v>
      </c>
      <c r="I168" s="23">
        <f t="shared" si="86"/>
        <v>0.77269641789406684</v>
      </c>
      <c r="J168" s="23">
        <f t="shared" si="86"/>
        <v>0.74273753154454292</v>
      </c>
      <c r="K168" s="23">
        <f t="shared" si="86"/>
        <v>0.71031039370677007</v>
      </c>
      <c r="L168" s="23">
        <f t="shared" si="86"/>
        <v>0.67558121641913038</v>
      </c>
      <c r="M168" s="23">
        <f t="shared" si="86"/>
        <v>0.63880569921401076</v>
      </c>
      <c r="N168" s="23">
        <f t="shared" si="86"/>
        <v>0.60032763288761015</v>
      </c>
      <c r="O168" s="23">
        <f t="shared" si="86"/>
        <v>0.5605702161853473</v>
      </c>
      <c r="P168" s="23">
        <f t="shared" si="86"/>
        <v>0.52001996725991884</v>
      </c>
      <c r="Q168" s="23">
        <f t="shared" si="86"/>
        <v>0.47920421406594882</v>
      </c>
      <c r="R168" s="23">
        <f t="shared" si="86"/>
        <v>0.43866421927019456</v>
      </c>
      <c r="S168" s="23">
        <f t="shared" si="86"/>
        <v>0.39892677534926413</v>
      </c>
      <c r="T168" s="23">
        <f t="shared" si="86"/>
        <v>0.36047738789382727</v>
      </c>
      <c r="U168" s="23">
        <f t="shared" si="86"/>
        <v>0.32373787210334737</v>
      </c>
      <c r="V168" s="23">
        <f t="shared" si="86"/>
        <v>0.28905039958440459</v>
      </c>
      <c r="W168" s="23">
        <f t="shared" si="86"/>
        <v>0.25666895810325996</v>
      </c>
      <c r="X168" s="28">
        <f t="shared" si="86"/>
        <v>0.22675808649164966</v>
      </c>
    </row>
    <row r="169" spans="2:24" x14ac:dyDescent="0.35">
      <c r="B169" s="76"/>
      <c r="C169" s="17">
        <v>0.6</v>
      </c>
      <c r="D169" s="27">
        <f t="shared" ref="D169:X169" si="87">1/(1+EXP(-D195))</f>
        <v>0.87121753145676006</v>
      </c>
      <c r="E169" s="23">
        <f t="shared" si="87"/>
        <v>0.85175254083033758</v>
      </c>
      <c r="F169" s="23">
        <f t="shared" si="87"/>
        <v>0.82991984208358616</v>
      </c>
      <c r="G169" s="23">
        <f t="shared" si="87"/>
        <v>0.80560563227687809</v>
      </c>
      <c r="H169" s="23">
        <f t="shared" si="87"/>
        <v>0.77874220583255105</v>
      </c>
      <c r="I169" s="23">
        <f t="shared" si="87"/>
        <v>0.74932164991502404</v>
      </c>
      <c r="J169" s="23">
        <f t="shared" si="87"/>
        <v>0.71740866259760661</v>
      </c>
      <c r="K169" s="23">
        <f t="shared" si="87"/>
        <v>0.68315086170682027</v>
      </c>
      <c r="L169" s="23">
        <f t="shared" si="87"/>
        <v>0.64678479368072417</v>
      </c>
      <c r="M169" s="23">
        <f t="shared" si="87"/>
        <v>0.60863598057350843</v>
      </c>
      <c r="N169" s="23">
        <f t="shared" si="87"/>
        <v>0.56911183174664803</v>
      </c>
      <c r="O169" s="23">
        <f t="shared" si="87"/>
        <v>0.52868708688753718</v>
      </c>
      <c r="P169" s="23">
        <f t="shared" si="87"/>
        <v>0.48788253384722341</v>
      </c>
      <c r="Q169" s="23">
        <f t="shared" si="87"/>
        <v>0.44723884474558151</v>
      </c>
      <c r="R169" s="23">
        <f t="shared" si="87"/>
        <v>0.40728823629985239</v>
      </c>
      <c r="S169" s="23">
        <f t="shared" si="87"/>
        <v>0.36852706026513182</v>
      </c>
      <c r="T169" s="23">
        <f t="shared" si="87"/>
        <v>0.33139225779119907</v>
      </c>
      <c r="U169" s="23">
        <f t="shared" si="87"/>
        <v>0.29624391485206275</v>
      </c>
      <c r="V169" s="23">
        <f t="shared" si="87"/>
        <v>0.26335512101634245</v>
      </c>
      <c r="W169" s="23">
        <f t="shared" si="87"/>
        <v>0.23290921754832059</v>
      </c>
      <c r="X169" s="28">
        <f t="shared" si="87"/>
        <v>0.20500356439318712</v>
      </c>
    </row>
    <row r="170" spans="2:24" x14ac:dyDescent="0.35">
      <c r="B170" s="76"/>
      <c r="C170" s="17">
        <v>0.55000000000000004</v>
      </c>
      <c r="D170" s="27">
        <f t="shared" ref="D170:X170" si="88">1/(1+EXP(-D196))</f>
        <v>0.85608723234552508</v>
      </c>
      <c r="E170" s="23">
        <f t="shared" si="88"/>
        <v>0.83476907359223007</v>
      </c>
      <c r="F170" s="23">
        <f t="shared" si="88"/>
        <v>0.81099021694208062</v>
      </c>
      <c r="G170" s="23">
        <f t="shared" si="88"/>
        <v>0.78467200044602203</v>
      </c>
      <c r="H170" s="23">
        <f t="shared" si="88"/>
        <v>0.75579266507650422</v>
      </c>
      <c r="I170" s="23">
        <f t="shared" si="88"/>
        <v>0.7244004867201268</v>
      </c>
      <c r="J170" s="23">
        <f t="shared" si="88"/>
        <v>0.69062476710181431</v>
      </c>
      <c r="K170" s="23">
        <f t="shared" si="88"/>
        <v>0.65468290609360968</v>
      </c>
      <c r="L170" s="23">
        <f t="shared" si="88"/>
        <v>0.61688183752555104</v>
      </c>
      <c r="M170" s="23">
        <f t="shared" si="88"/>
        <v>0.57761251989242701</v>
      </c>
      <c r="N170" s="23">
        <f t="shared" si="88"/>
        <v>0.53733694447387548</v>
      </c>
      <c r="O170" s="23">
        <f t="shared" si="88"/>
        <v>0.49656816491798195</v>
      </c>
      <c r="P170" s="23">
        <f t="shared" si="88"/>
        <v>0.45584496873148217</v>
      </c>
      <c r="Q170" s="23">
        <f t="shared" si="88"/>
        <v>0.41570374554471556</v>
      </c>
      <c r="R170" s="23">
        <f t="shared" si="88"/>
        <v>0.37665061942560851</v>
      </c>
      <c r="S170" s="23">
        <f t="shared" si="88"/>
        <v>0.33913686360075401</v>
      </c>
      <c r="T170" s="23">
        <f t="shared" si="88"/>
        <v>0.30354001921246254</v>
      </c>
      <c r="U170" s="23">
        <f t="shared" si="88"/>
        <v>0.27015215638042533</v>
      </c>
      <c r="V170" s="23">
        <f t="shared" si="88"/>
        <v>0.2391755949019492</v>
      </c>
      <c r="W170" s="23">
        <f t="shared" si="88"/>
        <v>0.21072539470950724</v>
      </c>
      <c r="X170" s="28">
        <f t="shared" si="88"/>
        <v>0.18483721254951516</v>
      </c>
    </row>
    <row r="171" spans="2:24" x14ac:dyDescent="0.35">
      <c r="B171" s="76"/>
      <c r="C171" s="17">
        <v>0.5</v>
      </c>
      <c r="D171" s="27">
        <f t="shared" ref="D171:X171" si="89">1/(1+EXP(-D197))</f>
        <v>0.8395067834935267</v>
      </c>
      <c r="E171" s="23">
        <f t="shared" si="89"/>
        <v>0.81625966999832367</v>
      </c>
      <c r="F171" s="23">
        <f t="shared" si="89"/>
        <v>0.79048563063611388</v>
      </c>
      <c r="G171" s="23">
        <f t="shared" si="89"/>
        <v>0.76214966024646125</v>
      </c>
      <c r="H171" s="23">
        <f t="shared" si="89"/>
        <v>0.7312841164858076</v>
      </c>
      <c r="I171" s="23">
        <f t="shared" si="89"/>
        <v>0.69800031141368224</v>
      </c>
      <c r="J171" s="23">
        <f t="shared" si="89"/>
        <v>0.66249656821023173</v>
      </c>
      <c r="K171" s="23">
        <f t="shared" si="89"/>
        <v>0.62506098521375375</v>
      </c>
      <c r="L171" s="23">
        <f t="shared" si="89"/>
        <v>0.58606748029095435</v>
      </c>
      <c r="M171" s="23">
        <f t="shared" si="89"/>
        <v>0.54596438656918933</v>
      </c>
      <c r="N171" s="23">
        <f t="shared" si="89"/>
        <v>0.50525586776662601</v>
      </c>
      <c r="O171" s="23">
        <f t="shared" si="89"/>
        <v>0.46447754226585969</v>
      </c>
      <c r="P171" s="23">
        <f t="shared" si="89"/>
        <v>0.42416870023265152</v>
      </c>
      <c r="Q171" s="23">
        <f t="shared" si="89"/>
        <v>0.38484411645561745</v>
      </c>
      <c r="R171" s="23">
        <f t="shared" si="89"/>
        <v>0.34696853646574594</v>
      </c>
      <c r="S171" s="23">
        <f t="shared" si="89"/>
        <v>0.3109364242095321</v>
      </c>
      <c r="T171" s="23">
        <f t="shared" si="89"/>
        <v>0.27705863931720293</v>
      </c>
      <c r="U171" s="23">
        <f t="shared" si="89"/>
        <v>0.24555659806814423</v>
      </c>
      <c r="V171" s="23">
        <f t="shared" si="89"/>
        <v>0.21656342243021043</v>
      </c>
      <c r="W171" s="23">
        <f t="shared" si="89"/>
        <v>0.19013079556382895</v>
      </c>
      <c r="X171" s="28">
        <f t="shared" si="89"/>
        <v>0.16623981631676568</v>
      </c>
    </row>
    <row r="172" spans="2:24" x14ac:dyDescent="0.35">
      <c r="B172" s="76"/>
      <c r="C172" s="17">
        <v>0.45</v>
      </c>
      <c r="D172" s="27">
        <f t="shared" ref="D172:X172" si="90">1/(1+EXP(-D198))</f>
        <v>0.82141456481638364</v>
      </c>
      <c r="E172" s="23">
        <f t="shared" si="90"/>
        <v>0.79618306944142569</v>
      </c>
      <c r="F172" s="23">
        <f t="shared" si="90"/>
        <v>0.76839188588644425</v>
      </c>
      <c r="G172" s="23">
        <f t="shared" si="90"/>
        <v>0.73805798461656746</v>
      </c>
      <c r="H172" s="23">
        <f t="shared" si="90"/>
        <v>0.70527505915128164</v>
      </c>
      <c r="I172" s="23">
        <f t="shared" si="90"/>
        <v>0.67022248639428039</v>
      </c>
      <c r="J172" s="23">
        <f t="shared" si="90"/>
        <v>0.63316935294372001</v>
      </c>
      <c r="K172" s="23">
        <f t="shared" si="90"/>
        <v>0.59447201900237678</v>
      </c>
      <c r="L172" s="23">
        <f t="shared" si="90"/>
        <v>0.55456431337803203</v>
      </c>
      <c r="M172" s="23">
        <f t="shared" si="90"/>
        <v>0.51394039788106016</v>
      </c>
      <c r="N172" s="23">
        <f t="shared" si="90"/>
        <v>0.47313145328899381</v>
      </c>
      <c r="O172" s="23">
        <f t="shared" si="90"/>
        <v>0.43267838324510061</v>
      </c>
      <c r="P172" s="23">
        <f t="shared" si="90"/>
        <v>0.39310344901741745</v>
      </c>
      <c r="Q172" s="23">
        <f t="shared" si="90"/>
        <v>0.35488394576079851</v>
      </c>
      <c r="R172" s="23">
        <f t="shared" si="90"/>
        <v>0.31843065530530507</v>
      </c>
      <c r="S172" s="23">
        <f t="shared" si="90"/>
        <v>0.28407296444669783</v>
      </c>
      <c r="T172" s="23">
        <f t="shared" si="90"/>
        <v>0.25205144274388475</v>
      </c>
      <c r="U172" s="23">
        <f t="shared" si="90"/>
        <v>0.22251759078795247</v>
      </c>
      <c r="V172" s="23">
        <f t="shared" si="90"/>
        <v>0.19553961595139854</v>
      </c>
      <c r="W172" s="23">
        <f t="shared" si="90"/>
        <v>0.17111258760276676</v>
      </c>
      <c r="X172" s="28">
        <f t="shared" si="90"/>
        <v>0.14917118000537621</v>
      </c>
    </row>
    <row r="173" spans="2:24" x14ac:dyDescent="0.35">
      <c r="B173" s="76"/>
      <c r="C173" s="17">
        <v>0.4</v>
      </c>
      <c r="D173" s="27">
        <f t="shared" ref="D173:X173" si="91">1/(1+EXP(-D199))</f>
        <v>0.80176442844507856</v>
      </c>
      <c r="E173" s="23">
        <f t="shared" si="91"/>
        <v>0.77451875533035164</v>
      </c>
      <c r="F173" s="23">
        <f t="shared" si="91"/>
        <v>0.74472070380157107</v>
      </c>
      <c r="G173" s="23">
        <f t="shared" si="91"/>
        <v>0.71244676093898085</v>
      </c>
      <c r="H173" s="23">
        <f t="shared" si="91"/>
        <v>0.67785754527820197</v>
      </c>
      <c r="I173" s="23">
        <f t="shared" si="91"/>
        <v>0.64120302485089253</v>
      </c>
      <c r="J173" s="23">
        <f t="shared" si="91"/>
        <v>0.60282155839011853</v>
      </c>
      <c r="K173" s="23">
        <f t="shared" si="91"/>
        <v>0.56313169068013325</v>
      </c>
      <c r="L173" s="23">
        <f t="shared" si="91"/>
        <v>0.52261651840625512</v>
      </c>
      <c r="M173" s="23">
        <f t="shared" si="91"/>
        <v>0.48180153862638492</v>
      </c>
      <c r="N173" s="23">
        <f t="shared" si="91"/>
        <v>0.44122797322002788</v>
      </c>
      <c r="O173" s="23">
        <f t="shared" si="91"/>
        <v>0.40142436849243185</v>
      </c>
      <c r="P173" s="23">
        <f t="shared" si="91"/>
        <v>0.36287958711454127</v>
      </c>
      <c r="Q173" s="23">
        <f t="shared" si="91"/>
        <v>0.32602005243322557</v>
      </c>
      <c r="R173" s="23">
        <f t="shared" si="91"/>
        <v>0.29119334365291272</v>
      </c>
      <c r="S173" s="23">
        <f t="shared" si="91"/>
        <v>0.2586591765091838</v>
      </c>
      <c r="T173" s="23">
        <f t="shared" si="91"/>
        <v>0.22858769772759943</v>
      </c>
      <c r="U173" s="23">
        <f t="shared" si="91"/>
        <v>0.20106410509122377</v>
      </c>
      <c r="V173" s="23">
        <f t="shared" si="91"/>
        <v>0.17609802121362397</v>
      </c>
      <c r="W173" s="23">
        <f t="shared" si="91"/>
        <v>0.1536358321398357</v>
      </c>
      <c r="X173" s="28">
        <f t="shared" si="91"/>
        <v>0.13357429625721381</v>
      </c>
    </row>
    <row r="174" spans="2:24" x14ac:dyDescent="0.35">
      <c r="B174" s="76"/>
      <c r="C174" s="17">
        <v>0.35</v>
      </c>
      <c r="D174" s="27">
        <f t="shared" ref="D174:X174" si="92">1/(1+EXP(-D200))</f>
        <v>0.78052984008562776</v>
      </c>
      <c r="E174" s="23">
        <f t="shared" si="92"/>
        <v>0.75127106385625775</v>
      </c>
      <c r="F174" s="23">
        <f t="shared" si="92"/>
        <v>0.71951335329420807</v>
      </c>
      <c r="G174" s="23">
        <f t="shared" si="92"/>
        <v>0.68539881071241227</v>
      </c>
      <c r="H174" s="23">
        <f t="shared" si="92"/>
        <v>0.64915824620312579</v>
      </c>
      <c r="I174" s="23">
        <f t="shared" si="92"/>
        <v>0.61111164647213778</v>
      </c>
      <c r="J174" s="23">
        <f t="shared" si="92"/>
        <v>0.57166156142091806</v>
      </c>
      <c r="K174" s="23">
        <f t="shared" si="92"/>
        <v>0.5312790127625705</v>
      </c>
      <c r="L174" s="23">
        <f t="shared" si="92"/>
        <v>0.49048259623098173</v>
      </c>
      <c r="M174" s="23">
        <f t="shared" si="92"/>
        <v>0.44981255508512125</v>
      </c>
      <c r="N174" s="23">
        <f t="shared" si="92"/>
        <v>0.40980248778683936</v>
      </c>
      <c r="O174" s="23">
        <f t="shared" si="92"/>
        <v>0.37095178694068071</v>
      </c>
      <c r="P174" s="23">
        <f t="shared" si="92"/>
        <v>0.33370177121710165</v>
      </c>
      <c r="Q174" s="23">
        <f t="shared" si="92"/>
        <v>0.29841780438783094</v>
      </c>
      <c r="R174" s="23">
        <f t="shared" si="92"/>
        <v>0.26537867490067019</v>
      </c>
      <c r="S174" s="23">
        <f t="shared" si="92"/>
        <v>0.23477339055218249</v>
      </c>
      <c r="T174" s="23">
        <f t="shared" si="92"/>
        <v>0.20670457036758247</v>
      </c>
      <c r="U174" s="23">
        <f t="shared" si="92"/>
        <v>0.18119695482668335</v>
      </c>
      <c r="V174" s="23">
        <f t="shared" si="92"/>
        <v>0.15820926272913169</v>
      </c>
      <c r="W174" s="23">
        <f t="shared" si="92"/>
        <v>0.13764765888036615</v>
      </c>
      <c r="X174" s="28">
        <f t="shared" si="92"/>
        <v>0.11937936363667767</v>
      </c>
    </row>
    <row r="175" spans="2:24" x14ac:dyDescent="0.35">
      <c r="B175" s="76"/>
      <c r="C175" s="17">
        <v>0.3</v>
      </c>
      <c r="D175" s="27">
        <f t="shared" ref="D175:X175" si="93">1/(1+EXP(-D201))</f>
        <v>0.75770802841862728</v>
      </c>
      <c r="E175" s="23">
        <f t="shared" si="93"/>
        <v>0.72647295779197374</v>
      </c>
      <c r="F175" s="23">
        <f t="shared" si="93"/>
        <v>0.69284353200974902</v>
      </c>
      <c r="G175" s="23">
        <f t="shared" si="93"/>
        <v>0.65703142899786882</v>
      </c>
      <c r="H175" s="23">
        <f t="shared" si="93"/>
        <v>0.61933796567502897</v>
      </c>
      <c r="I175" s="23">
        <f t="shared" si="93"/>
        <v>0.580149056916058</v>
      </c>
      <c r="J175" s="23">
        <f t="shared" si="93"/>
        <v>0.53992269716031527</v>
      </c>
      <c r="K175" s="23">
        <f t="shared" si="93"/>
        <v>0.49916939762349277</v>
      </c>
      <c r="L175" s="23">
        <f t="shared" si="93"/>
        <v>0.45842713105362448</v>
      </c>
      <c r="M175" s="23">
        <f t="shared" si="93"/>
        <v>0.4182332897806027</v>
      </c>
      <c r="N175" s="23">
        <f t="shared" si="93"/>
        <v>0.37909670768561687</v>
      </c>
      <c r="O175" s="23">
        <f t="shared" si="93"/>
        <v>0.34147278487423438</v>
      </c>
      <c r="P175" s="23">
        <f t="shared" si="93"/>
        <v>0.30574418854537783</v>
      </c>
      <c r="Q175" s="23">
        <f t="shared" si="93"/>
        <v>0.27220863789396454</v>
      </c>
      <c r="R175" s="23">
        <f t="shared" si="93"/>
        <v>0.24107416080490729</v>
      </c>
      <c r="S175" s="23">
        <f t="shared" si="93"/>
        <v>0.21246118924188956</v>
      </c>
      <c r="T175" s="23">
        <f t="shared" si="93"/>
        <v>0.18641012453059802</v>
      </c>
      <c r="U175" s="23">
        <f t="shared" si="93"/>
        <v>0.16289263309008509</v>
      </c>
      <c r="V175" s="23">
        <f t="shared" si="93"/>
        <v>0.14182490599861708</v>
      </c>
      <c r="W175" s="23">
        <f t="shared" si="93"/>
        <v>0.12308134307355999</v>
      </c>
      <c r="X175" s="28">
        <f t="shared" si="93"/>
        <v>0.10650749029190122</v>
      </c>
    </row>
    <row r="176" spans="2:24" x14ac:dyDescent="0.35">
      <c r="B176" s="76"/>
      <c r="C176" s="17">
        <v>0.25</v>
      </c>
      <c r="D176" s="27">
        <f t="shared" ref="D176:X176" si="94">1/(1+EXP(-D202))</f>
        <v>0.73332387964467927</v>
      </c>
      <c r="E176" s="23">
        <f t="shared" si="94"/>
        <v>0.70018914349800643</v>
      </c>
      <c r="F176" s="23">
        <f t="shared" si="94"/>
        <v>0.66481915684526216</v>
      </c>
      <c r="G176" s="23">
        <f t="shared" si="94"/>
        <v>0.62749634095871776</v>
      </c>
      <c r="H176" s="23">
        <f t="shared" si="94"/>
        <v>0.58858940761772793</v>
      </c>
      <c r="I176" s="23">
        <f t="shared" si="94"/>
        <v>0.54854243294693039</v>
      </c>
      <c r="J176" s="23">
        <f t="shared" si="94"/>
        <v>0.50785670046782005</v>
      </c>
      <c r="K176" s="23">
        <f t="shared" si="94"/>
        <v>0.46706663203224558</v>
      </c>
      <c r="L176" s="23">
        <f t="shared" si="94"/>
        <v>0.42671213639008221</v>
      </c>
      <c r="M176" s="23">
        <f t="shared" si="94"/>
        <v>0.38731035378633538</v>
      </c>
      <c r="N176" s="23">
        <f t="shared" si="94"/>
        <v>0.3493298868175132</v>
      </c>
      <c r="O176" s="23">
        <f t="shared" si="94"/>
        <v>0.31317015193482656</v>
      </c>
      <c r="P176" s="23">
        <f t="shared" si="94"/>
        <v>0.27914758683122992</v>
      </c>
      <c r="Q176" s="23">
        <f t="shared" si="94"/>
        <v>0.24748933942338883</v>
      </c>
      <c r="R176" s="23">
        <f t="shared" si="94"/>
        <v>0.21833400343509615</v>
      </c>
      <c r="S176" s="23">
        <f t="shared" si="94"/>
        <v>0.19173815874443054</v>
      </c>
      <c r="T176" s="23">
        <f t="shared" si="94"/>
        <v>0.16768702510057659</v>
      </c>
      <c r="U176" s="23">
        <f t="shared" si="94"/>
        <v>0.14610744340190321</v>
      </c>
      <c r="V176" s="23">
        <f t="shared" si="94"/>
        <v>0.12688158118582005</v>
      </c>
      <c r="W176" s="23">
        <f t="shared" si="94"/>
        <v>0.10986010656769707</v>
      </c>
      <c r="X176" s="28">
        <f t="shared" si="94"/>
        <v>9.4873979866394953E-2</v>
      </c>
    </row>
    <row r="177" spans="2:24" x14ac:dyDescent="0.35">
      <c r="B177" s="76"/>
      <c r="C177" s="17">
        <v>0.2</v>
      </c>
      <c r="D177" s="27">
        <f t="shared" ref="D177:X177" si="95">1/(1+EXP(-D203))</f>
        <v>0.70743326539728235</v>
      </c>
      <c r="E177" s="23">
        <f t="shared" si="95"/>
        <v>0.67251818913337635</v>
      </c>
      <c r="F177" s="23">
        <f t="shared" si="95"/>
        <v>0.63558274728441433</v>
      </c>
      <c r="G177" s="23">
        <f t="shared" si="95"/>
        <v>0.59697795339394699</v>
      </c>
      <c r="H177" s="23">
        <f t="shared" si="95"/>
        <v>0.55713313872464487</v>
      </c>
      <c r="I177" s="23">
        <f t="shared" si="95"/>
        <v>0.51653926121746818</v>
      </c>
      <c r="J177" s="23">
        <f t="shared" si="95"/>
        <v>0.47572592938709335</v>
      </c>
      <c r="K177" s="23">
        <f t="shared" si="95"/>
        <v>0.43523427820953431</v>
      </c>
      <c r="L177" s="23">
        <f t="shared" si="95"/>
        <v>0.39558857832733912</v>
      </c>
      <c r="M177" s="23">
        <f t="shared" si="95"/>
        <v>0.35726969396721892</v>
      </c>
      <c r="N177" s="23">
        <f t="shared" si="95"/>
        <v>0.32069316438065076</v>
      </c>
      <c r="O177" s="23">
        <f t="shared" si="95"/>
        <v>0.28619386182945494</v>
      </c>
      <c r="P177" s="23">
        <f t="shared" si="95"/>
        <v>0.25401809220283039</v>
      </c>
      <c r="Q177" s="23">
        <f t="shared" si="95"/>
        <v>0.22432291325294546</v>
      </c>
      <c r="R177" s="23">
        <f t="shared" si="95"/>
        <v>0.19718157214093537</v>
      </c>
      <c r="S177" s="23">
        <f t="shared" si="95"/>
        <v>0.17259343530464089</v>
      </c>
      <c r="T177" s="23">
        <f t="shared" si="95"/>
        <v>0.15049661829302372</v>
      </c>
      <c r="U177" s="23">
        <f t="shared" si="95"/>
        <v>0.13078165563982661</v>
      </c>
      <c r="V177" s="23">
        <f t="shared" si="95"/>
        <v>0.11330487291885695</v>
      </c>
      <c r="W177" s="23">
        <f t="shared" si="95"/>
        <v>9.790052379863462E-2</v>
      </c>
      <c r="X177" s="28">
        <f t="shared" si="95"/>
        <v>8.4391146440753184E-2</v>
      </c>
    </row>
    <row r="178" spans="2:24" x14ac:dyDescent="0.35">
      <c r="B178" s="76"/>
      <c r="C178" s="17">
        <v>0.15</v>
      </c>
      <c r="D178" s="27">
        <f t="shared" ref="D178:X178" si="96">1/(1+EXP(-D204))</f>
        <v>0.68012546447658651</v>
      </c>
      <c r="E178" s="23">
        <f t="shared" si="96"/>
        <v>0.64359331640350637</v>
      </c>
      <c r="F178" s="23">
        <f t="shared" si="96"/>
        <v>0.60531015327642002</v>
      </c>
      <c r="G178" s="23">
        <f t="shared" si="96"/>
        <v>0.56568980217845144</v>
      </c>
      <c r="H178" s="23">
        <f t="shared" si="96"/>
        <v>0.52521184776815721</v>
      </c>
      <c r="I178" s="23">
        <f t="shared" si="96"/>
        <v>0.48439984701052491</v>
      </c>
      <c r="J178" s="23">
        <f t="shared" si="96"/>
        <v>0.44379486469214086</v>
      </c>
      <c r="K178" s="23">
        <f t="shared" si="96"/>
        <v>0.40392709038032903</v>
      </c>
      <c r="L178" s="23">
        <f t="shared" si="96"/>
        <v>0.36528865077897116</v>
      </c>
      <c r="M178" s="23">
        <f t="shared" si="96"/>
        <v>0.32831051047297993</v>
      </c>
      <c r="N178" s="23">
        <f t="shared" si="96"/>
        <v>0.29334561970386741</v>
      </c>
      <c r="O178" s="23">
        <f t="shared" si="96"/>
        <v>0.26065941560515826</v>
      </c>
      <c r="P178" s="23">
        <f t="shared" si="96"/>
        <v>0.23042767208768344</v>
      </c>
      <c r="Q178" s="23">
        <f t="shared" si="96"/>
        <v>0.20274075960054691</v>
      </c>
      <c r="R178" s="23">
        <f t="shared" si="96"/>
        <v>0.1776127689390192</v>
      </c>
      <c r="S178" s="23">
        <f t="shared" si="96"/>
        <v>0.15499371382714522</v>
      </c>
      <c r="T178" s="23">
        <f t="shared" si="96"/>
        <v>0.13478310435569399</v>
      </c>
      <c r="U178" s="23">
        <f t="shared" si="96"/>
        <v>0.11684347478852894</v>
      </c>
      <c r="V178" s="23">
        <f t="shared" si="96"/>
        <v>0.10101284159496382</v>
      </c>
      <c r="W178" s="23">
        <f t="shared" si="96"/>
        <v>8.7115466751946299E-2</v>
      </c>
      <c r="X178" s="28">
        <f t="shared" si="96"/>
        <v>7.4970645799483565E-2</v>
      </c>
    </row>
    <row r="179" spans="2:24" x14ac:dyDescent="0.35">
      <c r="B179" s="76"/>
      <c r="C179" s="17">
        <v>0.1</v>
      </c>
      <c r="D179" s="27">
        <f t="shared" ref="D179:X179" si="97">1/(1+EXP(-D205))</f>
        <v>0.65152434295013684</v>
      </c>
      <c r="E179" s="23">
        <f t="shared" si="97"/>
        <v>0.61358159463666917</v>
      </c>
      <c r="F179" s="23">
        <f t="shared" si="97"/>
        <v>0.57420749155675244</v>
      </c>
      <c r="G179" s="23">
        <f t="shared" si="97"/>
        <v>0.53386925205181435</v>
      </c>
      <c r="H179" s="23">
        <f t="shared" si="97"/>
        <v>0.49308317362919335</v>
      </c>
      <c r="I179" s="23">
        <f t="shared" si="97"/>
        <v>0.45238895482680591</v>
      </c>
      <c r="J179" s="23">
        <f t="shared" si="97"/>
        <v>0.41232146300528644</v>
      </c>
      <c r="K179" s="23">
        <f t="shared" si="97"/>
        <v>0.37338303398970846</v>
      </c>
      <c r="L179" s="23">
        <f t="shared" si="97"/>
        <v>0.33601929098962352</v>
      </c>
      <c r="M179" s="23">
        <f t="shared" si="97"/>
        <v>0.30060083243936264</v>
      </c>
      <c r="N179" s="23">
        <f t="shared" si="97"/>
        <v>0.2674121329511519</v>
      </c>
      <c r="O179" s="23">
        <f t="shared" si="97"/>
        <v>0.23664788113093926</v>
      </c>
      <c r="P179" s="23">
        <f t="shared" si="97"/>
        <v>0.20841599022428664</v>
      </c>
      <c r="Q179" s="23">
        <f t="shared" si="97"/>
        <v>0.18274583390109028</v>
      </c>
      <c r="R179" s="23">
        <f t="shared" si="97"/>
        <v>0.15959994351450843</v>
      </c>
      <c r="S179" s="23">
        <f t="shared" si="97"/>
        <v>0.1388874206427915</v>
      </c>
      <c r="T179" s="23">
        <f t="shared" si="97"/>
        <v>0.12047757428788287</v>
      </c>
      <c r="U179" s="23">
        <f t="shared" si="97"/>
        <v>0.10421267181432879</v>
      </c>
      <c r="V179" s="23">
        <f t="shared" si="97"/>
        <v>8.9919096773401153E-2</v>
      </c>
      <c r="W179" s="23">
        <f t="shared" si="97"/>
        <v>7.7416566295999426E-2</v>
      </c>
      <c r="X179" s="28">
        <f t="shared" si="97"/>
        <v>6.6525340245915651E-2</v>
      </c>
    </row>
    <row r="180" spans="2:24" x14ac:dyDescent="0.35">
      <c r="B180" s="76"/>
      <c r="C180" s="17">
        <v>0.05</v>
      </c>
      <c r="D180" s="27">
        <f t="shared" ref="D180:X180" si="98">1/(1+EXP(-D206))</f>
        <v>0.62178800175484306</v>
      </c>
      <c r="E180" s="23">
        <f t="shared" si="98"/>
        <v>0.5826813667500077</v>
      </c>
      <c r="F180" s="23">
        <f t="shared" si="98"/>
        <v>0.5425063025076351</v>
      </c>
      <c r="G180" s="23">
        <f t="shared" si="98"/>
        <v>0.50177067529148522</v>
      </c>
      <c r="H180" s="23">
        <f t="shared" si="98"/>
        <v>0.46101152826283781</v>
      </c>
      <c r="I180" s="23">
        <f t="shared" si="98"/>
        <v>0.42076714188657216</v>
      </c>
      <c r="J180" s="23">
        <f t="shared" si="98"/>
        <v>0.38154895807885153</v>
      </c>
      <c r="K180" s="23">
        <f t="shared" si="98"/>
        <v>0.34381642500710807</v>
      </c>
      <c r="L180" s="23">
        <f t="shared" si="98"/>
        <v>0.30795728624095953</v>
      </c>
      <c r="M180" s="23">
        <f t="shared" si="98"/>
        <v>0.27427489103232594</v>
      </c>
      <c r="N180" s="23">
        <f t="shared" si="98"/>
        <v>0.2429829843334203</v>
      </c>
      <c r="O180" s="23">
        <f t="shared" si="98"/>
        <v>0.2142074014354117</v>
      </c>
      <c r="P180" s="23">
        <f t="shared" si="98"/>
        <v>0.18799333467990928</v>
      </c>
      <c r="Q180" s="23">
        <f t="shared" si="98"/>
        <v>0.16431644549973423</v>
      </c>
      <c r="R180" s="23">
        <f t="shared" si="98"/>
        <v>0.14309604816282478</v>
      </c>
      <c r="S180" s="23">
        <f t="shared" si="98"/>
        <v>0.12420880601328109</v>
      </c>
      <c r="T180" s="23">
        <f t="shared" si="98"/>
        <v>0.10750174350277339</v>
      </c>
      <c r="U180" s="23">
        <f t="shared" si="98"/>
        <v>9.2803783118930103E-2</v>
      </c>
      <c r="V180" s="23">
        <f t="shared" si="98"/>
        <v>7.9935389373934893E-2</v>
      </c>
      <c r="W180" s="23">
        <f t="shared" si="98"/>
        <v>6.8716200039350098E-2</v>
      </c>
      <c r="X180" s="28">
        <f t="shared" si="98"/>
        <v>5.8970734290446317E-2</v>
      </c>
    </row>
    <row r="181" spans="2:24" ht="15" thickBot="1" x14ac:dyDescent="0.4">
      <c r="B181" s="77"/>
      <c r="C181" s="18">
        <v>0</v>
      </c>
      <c r="D181" s="29">
        <f t="shared" ref="D181:X181" si="99">1/(1+EXP(-D207))</f>
        <v>0.59110668991612492</v>
      </c>
      <c r="E181" s="30">
        <f t="shared" si="99"/>
        <v>0.55111787636698106</v>
      </c>
      <c r="F181" s="30">
        <f t="shared" si="99"/>
        <v>0.51045710797097188</v>
      </c>
      <c r="G181" s="30">
        <f t="shared" si="99"/>
        <v>0.46965749683087316</v>
      </c>
      <c r="H181" s="30">
        <f t="shared" si="99"/>
        <v>0.42925945457271986</v>
      </c>
      <c r="I181" s="30">
        <f t="shared" si="99"/>
        <v>0.38978238143690419</v>
      </c>
      <c r="J181" s="30">
        <f t="shared" si="99"/>
        <v>0.35169865271433148</v>
      </c>
      <c r="K181" s="30">
        <f t="shared" si="99"/>
        <v>0.31541258119206328</v>
      </c>
      <c r="L181" s="30">
        <f t="shared" si="99"/>
        <v>0.28124615717873486</v>
      </c>
      <c r="M181" s="30">
        <f t="shared" si="99"/>
        <v>0.2494322636477789</v>
      </c>
      <c r="N181" s="30">
        <f t="shared" si="99"/>
        <v>0.22011499320113692</v>
      </c>
      <c r="O181" s="30">
        <f t="shared" si="99"/>
        <v>0.19335586627388154</v>
      </c>
      <c r="P181" s="30">
        <f t="shared" si="99"/>
        <v>0.16914427673284124</v>
      </c>
      <c r="Q181" s="30">
        <f t="shared" si="99"/>
        <v>0.1474103757280649</v>
      </c>
      <c r="R181" s="30">
        <f t="shared" si="99"/>
        <v>0.12803877267456354</v>
      </c>
      <c r="S181" s="30">
        <f t="shared" si="99"/>
        <v>0.11088177271669186</v>
      </c>
      <c r="T181" s="30">
        <f t="shared" si="99"/>
        <v>9.5771274134466039E-2</v>
      </c>
      <c r="U181" s="30">
        <f t="shared" si="99"/>
        <v>8.2528833833330734E-2</v>
      </c>
      <c r="V181" s="30">
        <f t="shared" si="99"/>
        <v>7.097372502068075E-2</v>
      </c>
      <c r="W181" s="30">
        <f t="shared" si="99"/>
        <v>6.0929039498335051E-2</v>
      </c>
      <c r="X181" s="31">
        <f t="shared" si="99"/>
        <v>5.2226030295890125E-2</v>
      </c>
    </row>
    <row r="182" spans="2:24" x14ac:dyDescent="0.35">
      <c r="C182" s="6"/>
      <c r="D182" s="21">
        <v>0</v>
      </c>
      <c r="E182" s="19">
        <v>0.05</v>
      </c>
      <c r="F182" s="19">
        <v>0.1</v>
      </c>
      <c r="G182" s="19">
        <v>0.15</v>
      </c>
      <c r="H182" s="19">
        <v>0.2</v>
      </c>
      <c r="I182" s="19">
        <v>0.25</v>
      </c>
      <c r="J182" s="19">
        <v>0.3</v>
      </c>
      <c r="K182" s="19">
        <v>0.35</v>
      </c>
      <c r="L182" s="19">
        <v>0.4</v>
      </c>
      <c r="M182" s="19">
        <v>0.45</v>
      </c>
      <c r="N182" s="19">
        <v>0.5</v>
      </c>
      <c r="O182" s="19">
        <v>0.55000000000000004</v>
      </c>
      <c r="P182" s="19">
        <v>0.6</v>
      </c>
      <c r="Q182" s="19">
        <v>0.65</v>
      </c>
      <c r="R182" s="19">
        <v>0.7</v>
      </c>
      <c r="S182" s="19">
        <v>0.75</v>
      </c>
      <c r="T182" s="19">
        <v>0.8</v>
      </c>
      <c r="U182" s="19">
        <v>0.85</v>
      </c>
      <c r="V182" s="19">
        <v>0.9</v>
      </c>
      <c r="W182" s="19">
        <v>0.95</v>
      </c>
      <c r="X182" s="20">
        <v>1</v>
      </c>
    </row>
    <row r="183" spans="2:24" ht="21.5" thickBot="1" x14ac:dyDescent="0.55000000000000004">
      <c r="C183" s="6"/>
      <c r="D183" s="78" t="s">
        <v>51</v>
      </c>
      <c r="E183" s="79"/>
      <c r="F183" s="79"/>
      <c r="G183" s="79"/>
      <c r="H183" s="79"/>
      <c r="I183" s="79"/>
      <c r="J183" s="79"/>
      <c r="K183" s="79"/>
      <c r="L183" s="79"/>
      <c r="M183" s="79"/>
      <c r="N183" s="79"/>
      <c r="O183" s="79"/>
      <c r="P183" s="79"/>
      <c r="Q183" s="79"/>
      <c r="R183" s="79"/>
      <c r="S183" s="79"/>
      <c r="T183" s="79"/>
      <c r="U183" s="79"/>
      <c r="V183" s="79"/>
      <c r="W183" s="79"/>
      <c r="X183" s="80"/>
    </row>
    <row r="185" spans="2:24" ht="15" thickBot="1" x14ac:dyDescent="0.4"/>
    <row r="186" spans="2:24" ht="21.5" thickBot="1" x14ac:dyDescent="0.55000000000000004">
      <c r="B186" s="81" t="s">
        <v>11</v>
      </c>
      <c r="C186" s="82"/>
      <c r="D186" s="82"/>
      <c r="E186" s="82"/>
      <c r="F186" s="82"/>
      <c r="G186" s="82"/>
      <c r="H186" s="82"/>
      <c r="I186" s="82"/>
      <c r="J186" s="82"/>
      <c r="K186" s="82"/>
      <c r="L186" s="82"/>
      <c r="M186" s="82"/>
      <c r="N186" s="82"/>
      <c r="O186" s="82"/>
      <c r="P186" s="82"/>
      <c r="Q186" s="82"/>
      <c r="R186" s="82"/>
      <c r="S186" s="82"/>
      <c r="T186" s="82"/>
      <c r="U186" s="82"/>
      <c r="V186" s="82"/>
      <c r="W186" s="82"/>
      <c r="X186" s="83"/>
    </row>
    <row r="187" spans="2:24" x14ac:dyDescent="0.35">
      <c r="B187" s="75" t="s">
        <v>2</v>
      </c>
      <c r="C187" s="20">
        <v>1</v>
      </c>
      <c r="D187" s="22">
        <f>(D$208 * $P$5) + ($C187 * $P$6) + $P$8</f>
        <v>2.9405835008921857</v>
      </c>
      <c r="E187" s="22">
        <f>(E$208 * $P$5) + ($C187 * $P$6) + $P$8</f>
        <v>2.7772296374417751</v>
      </c>
      <c r="F187" s="22">
        <f t="shared" ref="F187:X200" si="100">(F$208 * $P$5) + ($C187 * $P$6) + $P$8</f>
        <v>2.6138757739913645</v>
      </c>
      <c r="G187" s="22">
        <f t="shared" si="100"/>
        <v>2.4505219105409548</v>
      </c>
      <c r="H187" s="22">
        <f t="shared" si="100"/>
        <v>2.2871680470905442</v>
      </c>
      <c r="I187" s="22">
        <f t="shared" si="100"/>
        <v>2.1238141836401341</v>
      </c>
      <c r="J187" s="22">
        <f t="shared" si="100"/>
        <v>1.9604603201897237</v>
      </c>
      <c r="K187" s="22">
        <f t="shared" si="100"/>
        <v>1.7971064567393136</v>
      </c>
      <c r="L187" s="22">
        <f t="shared" si="100"/>
        <v>1.6337525932889032</v>
      </c>
      <c r="M187" s="22">
        <f t="shared" si="100"/>
        <v>1.4703987298384928</v>
      </c>
      <c r="N187" s="22">
        <f t="shared" si="100"/>
        <v>1.3070448663880827</v>
      </c>
      <c r="O187" s="22">
        <f t="shared" si="100"/>
        <v>1.1436910029376723</v>
      </c>
      <c r="P187" s="22">
        <f t="shared" si="100"/>
        <v>0.9803371394872622</v>
      </c>
      <c r="Q187" s="22">
        <f t="shared" si="100"/>
        <v>0.81698327603685184</v>
      </c>
      <c r="R187" s="22">
        <f t="shared" si="100"/>
        <v>0.65362941258644169</v>
      </c>
      <c r="S187" s="22">
        <f t="shared" si="100"/>
        <v>0.49027554913603111</v>
      </c>
      <c r="T187" s="22">
        <f t="shared" si="100"/>
        <v>0.32692168568562097</v>
      </c>
      <c r="U187" s="22">
        <f t="shared" si="100"/>
        <v>0.16356782223521082</v>
      </c>
      <c r="V187" s="22">
        <f t="shared" si="100"/>
        <v>2.1395878480023889E-4</v>
      </c>
      <c r="W187" s="22">
        <f t="shared" si="100"/>
        <v>-0.16313990466560946</v>
      </c>
      <c r="X187" s="69">
        <f t="shared" si="100"/>
        <v>-0.32649376811602004</v>
      </c>
    </row>
    <row r="188" spans="2:24" x14ac:dyDescent="0.35">
      <c r="B188" s="76"/>
      <c r="C188" s="17">
        <v>0.95</v>
      </c>
      <c r="D188" s="22">
        <f t="shared" ref="D188:T207" si="101">(D$208 * $P$5) + ($C188 * $P$6) + $P$8</f>
        <v>2.8119814387992195</v>
      </c>
      <c r="E188" s="22">
        <f t="shared" si="101"/>
        <v>2.6486275753488089</v>
      </c>
      <c r="F188" s="22">
        <f t="shared" si="100"/>
        <v>2.4852737118983983</v>
      </c>
      <c r="G188" s="22">
        <f t="shared" si="100"/>
        <v>2.3219198484479886</v>
      </c>
      <c r="H188" s="22">
        <f t="shared" si="100"/>
        <v>2.158565984997578</v>
      </c>
      <c r="I188" s="22">
        <f t="shared" si="100"/>
        <v>1.9952121215471679</v>
      </c>
      <c r="J188" s="22">
        <f t="shared" si="100"/>
        <v>1.8318582580967575</v>
      </c>
      <c r="K188" s="22">
        <f t="shared" si="100"/>
        <v>1.6685043946463474</v>
      </c>
      <c r="L188" s="22">
        <f t="shared" si="100"/>
        <v>1.505150531195937</v>
      </c>
      <c r="M188" s="22">
        <f t="shared" si="100"/>
        <v>1.3417966677455266</v>
      </c>
      <c r="N188" s="22">
        <f t="shared" si="100"/>
        <v>1.1784428042951165</v>
      </c>
      <c r="O188" s="22">
        <f t="shared" si="100"/>
        <v>1.0150889408447061</v>
      </c>
      <c r="P188" s="22">
        <f t="shared" si="100"/>
        <v>0.85173507739429599</v>
      </c>
      <c r="Q188" s="22">
        <f t="shared" si="100"/>
        <v>0.68838121394388563</v>
      </c>
      <c r="R188" s="22">
        <f t="shared" si="100"/>
        <v>0.52502735049347549</v>
      </c>
      <c r="S188" s="22">
        <f t="shared" si="100"/>
        <v>0.3616734870430649</v>
      </c>
      <c r="T188" s="22">
        <f t="shared" si="100"/>
        <v>0.19831962359265476</v>
      </c>
      <c r="U188" s="22">
        <f t="shared" si="100"/>
        <v>3.4965760142244617E-2</v>
      </c>
      <c r="V188" s="22">
        <f t="shared" si="100"/>
        <v>-0.12838810330816597</v>
      </c>
      <c r="W188" s="22">
        <f t="shared" si="100"/>
        <v>-0.29174196675857567</v>
      </c>
      <c r="X188" s="70">
        <f t="shared" si="100"/>
        <v>-0.45509583020898625</v>
      </c>
    </row>
    <row r="189" spans="2:24" x14ac:dyDescent="0.35">
      <c r="B189" s="76"/>
      <c r="C189" s="17">
        <v>0.9</v>
      </c>
      <c r="D189" s="22">
        <f t="shared" si="101"/>
        <v>2.6833793767062541</v>
      </c>
      <c r="E189" s="22">
        <f t="shared" si="101"/>
        <v>2.5200255132558436</v>
      </c>
      <c r="F189" s="22">
        <f t="shared" si="100"/>
        <v>2.3566716498054334</v>
      </c>
      <c r="G189" s="22">
        <f t="shared" si="100"/>
        <v>2.1933177863550233</v>
      </c>
      <c r="H189" s="22">
        <f t="shared" si="100"/>
        <v>2.0299639229046127</v>
      </c>
      <c r="I189" s="22">
        <f t="shared" si="100"/>
        <v>1.8666100594542026</v>
      </c>
      <c r="J189" s="22">
        <f t="shared" si="100"/>
        <v>1.7032561960037922</v>
      </c>
      <c r="K189" s="22">
        <f t="shared" si="100"/>
        <v>1.539902332553382</v>
      </c>
      <c r="L189" s="22">
        <f t="shared" si="100"/>
        <v>1.3765484691029717</v>
      </c>
      <c r="M189" s="22">
        <f t="shared" si="100"/>
        <v>1.2131946056525613</v>
      </c>
      <c r="N189" s="22">
        <f t="shared" si="100"/>
        <v>1.0498407422021512</v>
      </c>
      <c r="O189" s="22">
        <f t="shared" si="100"/>
        <v>0.88648687875174081</v>
      </c>
      <c r="P189" s="22">
        <f t="shared" si="100"/>
        <v>0.72313301530133067</v>
      </c>
      <c r="Q189" s="22">
        <f t="shared" si="100"/>
        <v>0.55977915185092031</v>
      </c>
      <c r="R189" s="22">
        <f t="shared" si="100"/>
        <v>0.39642528840051017</v>
      </c>
      <c r="S189" s="22">
        <f t="shared" si="100"/>
        <v>0.23307142495009958</v>
      </c>
      <c r="T189" s="22">
        <f t="shared" si="100"/>
        <v>6.971756149968944E-2</v>
      </c>
      <c r="U189" s="22">
        <f t="shared" si="100"/>
        <v>-9.3636301950720702E-2</v>
      </c>
      <c r="V189" s="22">
        <f t="shared" si="100"/>
        <v>-0.25699016540113129</v>
      </c>
      <c r="W189" s="22">
        <f t="shared" si="100"/>
        <v>-0.42034402885154099</v>
      </c>
      <c r="X189" s="70">
        <f t="shared" si="100"/>
        <v>-0.58369789230195157</v>
      </c>
    </row>
    <row r="190" spans="2:24" x14ac:dyDescent="0.35">
      <c r="B190" s="76"/>
      <c r="C190" s="17">
        <v>0.85</v>
      </c>
      <c r="D190" s="22">
        <f t="shared" si="101"/>
        <v>2.5547773146132879</v>
      </c>
      <c r="E190" s="22">
        <f t="shared" si="101"/>
        <v>2.3914234511628774</v>
      </c>
      <c r="F190" s="22">
        <f t="shared" si="100"/>
        <v>2.2280695877124672</v>
      </c>
      <c r="G190" s="22">
        <f t="shared" si="100"/>
        <v>2.0647157242620571</v>
      </c>
      <c r="H190" s="22">
        <f t="shared" si="100"/>
        <v>1.9013618608116467</v>
      </c>
      <c r="I190" s="22">
        <f t="shared" si="100"/>
        <v>1.7380079973612363</v>
      </c>
      <c r="J190" s="22">
        <f t="shared" si="100"/>
        <v>1.574654133910826</v>
      </c>
      <c r="K190" s="22">
        <f t="shared" si="100"/>
        <v>1.4113002704604158</v>
      </c>
      <c r="L190" s="22">
        <f t="shared" si="100"/>
        <v>1.2479464070100055</v>
      </c>
      <c r="M190" s="22">
        <f t="shared" si="100"/>
        <v>1.0845925435595951</v>
      </c>
      <c r="N190" s="22">
        <f t="shared" si="100"/>
        <v>0.92123868010918497</v>
      </c>
      <c r="O190" s="22">
        <f t="shared" si="100"/>
        <v>0.75788481665877461</v>
      </c>
      <c r="P190" s="22">
        <f t="shared" si="100"/>
        <v>0.59453095320836447</v>
      </c>
      <c r="Q190" s="22">
        <f t="shared" si="100"/>
        <v>0.4311770897579541</v>
      </c>
      <c r="R190" s="22">
        <f t="shared" si="100"/>
        <v>0.26782322630754396</v>
      </c>
      <c r="S190" s="22">
        <f t="shared" si="100"/>
        <v>0.10446936285713337</v>
      </c>
      <c r="T190" s="22">
        <f t="shared" si="100"/>
        <v>-5.8884500593276767E-2</v>
      </c>
      <c r="U190" s="22">
        <f t="shared" si="100"/>
        <v>-0.22223836404368691</v>
      </c>
      <c r="V190" s="22">
        <f t="shared" si="100"/>
        <v>-0.38559222749409749</v>
      </c>
      <c r="W190" s="22">
        <f t="shared" si="100"/>
        <v>-0.54894609094450719</v>
      </c>
      <c r="X190" s="70">
        <f t="shared" si="100"/>
        <v>-0.71229995439491778</v>
      </c>
    </row>
    <row r="191" spans="2:24" x14ac:dyDescent="0.35">
      <c r="B191" s="76"/>
      <c r="C191" s="17">
        <v>0.8</v>
      </c>
      <c r="D191" s="22">
        <f t="shared" si="101"/>
        <v>2.4261752525203217</v>
      </c>
      <c r="E191" s="22">
        <f t="shared" si="101"/>
        <v>2.2628213890699116</v>
      </c>
      <c r="F191" s="22">
        <f t="shared" si="100"/>
        <v>2.0994675256195015</v>
      </c>
      <c r="G191" s="22">
        <f t="shared" si="100"/>
        <v>1.9361136621690911</v>
      </c>
      <c r="H191" s="22">
        <f t="shared" si="100"/>
        <v>1.7727597987186809</v>
      </c>
      <c r="I191" s="22">
        <f t="shared" si="100"/>
        <v>1.6094059352682706</v>
      </c>
      <c r="J191" s="22">
        <f t="shared" si="100"/>
        <v>1.4460520718178602</v>
      </c>
      <c r="K191" s="22">
        <f t="shared" si="100"/>
        <v>1.2826982083674501</v>
      </c>
      <c r="L191" s="22">
        <f t="shared" si="100"/>
        <v>1.1193443449170397</v>
      </c>
      <c r="M191" s="22">
        <f t="shared" si="100"/>
        <v>0.95599048146662935</v>
      </c>
      <c r="N191" s="22">
        <f t="shared" si="100"/>
        <v>0.79263661801621921</v>
      </c>
      <c r="O191" s="22">
        <f t="shared" si="100"/>
        <v>0.62928275456580884</v>
      </c>
      <c r="P191" s="22">
        <f t="shared" si="100"/>
        <v>0.4659288911153987</v>
      </c>
      <c r="Q191" s="22">
        <f t="shared" si="100"/>
        <v>0.30257502766498834</v>
      </c>
      <c r="R191" s="22">
        <f t="shared" si="100"/>
        <v>0.1392211642145782</v>
      </c>
      <c r="S191" s="22">
        <f t="shared" si="100"/>
        <v>-2.4132699235832389E-2</v>
      </c>
      <c r="T191" s="22">
        <f t="shared" si="100"/>
        <v>-0.18748656268624253</v>
      </c>
      <c r="U191" s="22">
        <f t="shared" si="100"/>
        <v>-0.35084042613665267</v>
      </c>
      <c r="V191" s="22">
        <f t="shared" si="100"/>
        <v>-0.51419428958706326</v>
      </c>
      <c r="W191" s="22">
        <f t="shared" si="100"/>
        <v>-0.67754815303747296</v>
      </c>
      <c r="X191" s="70">
        <f t="shared" si="100"/>
        <v>-0.84090201648788354</v>
      </c>
    </row>
    <row r="192" spans="2:24" x14ac:dyDescent="0.35">
      <c r="B192" s="76"/>
      <c r="C192" s="17">
        <v>0.75</v>
      </c>
      <c r="D192" s="22">
        <f t="shared" si="101"/>
        <v>2.297573190427356</v>
      </c>
      <c r="E192" s="22">
        <f t="shared" si="101"/>
        <v>2.1342193269769458</v>
      </c>
      <c r="F192" s="22">
        <f t="shared" si="100"/>
        <v>1.9708654635265355</v>
      </c>
      <c r="G192" s="22">
        <f t="shared" si="100"/>
        <v>1.8075116000761251</v>
      </c>
      <c r="H192" s="22">
        <f t="shared" si="100"/>
        <v>1.6441577366257147</v>
      </c>
      <c r="I192" s="22">
        <f t="shared" si="100"/>
        <v>1.4808038731753046</v>
      </c>
      <c r="J192" s="22">
        <f t="shared" si="100"/>
        <v>1.3174500097248942</v>
      </c>
      <c r="K192" s="22">
        <f t="shared" si="100"/>
        <v>1.1540961462744841</v>
      </c>
      <c r="L192" s="22">
        <f t="shared" si="100"/>
        <v>0.99074228282407373</v>
      </c>
      <c r="M192" s="22">
        <f t="shared" si="100"/>
        <v>0.82738841937366336</v>
      </c>
      <c r="N192" s="22">
        <f t="shared" si="100"/>
        <v>0.66403455592325322</v>
      </c>
      <c r="O192" s="22">
        <f t="shared" si="100"/>
        <v>0.50068069247284286</v>
      </c>
      <c r="P192" s="22">
        <f t="shared" si="100"/>
        <v>0.33732682902243272</v>
      </c>
      <c r="Q192" s="22">
        <f t="shared" si="100"/>
        <v>0.17397296557202235</v>
      </c>
      <c r="R192" s="22">
        <f t="shared" si="100"/>
        <v>1.0619102121612212E-2</v>
      </c>
      <c r="S192" s="22">
        <f t="shared" si="100"/>
        <v>-0.15273476132879837</v>
      </c>
      <c r="T192" s="22">
        <f t="shared" si="100"/>
        <v>-0.31608862477920852</v>
      </c>
      <c r="U192" s="22">
        <f t="shared" si="100"/>
        <v>-0.47944248822961866</v>
      </c>
      <c r="V192" s="22">
        <f t="shared" si="100"/>
        <v>-0.64279635168002924</v>
      </c>
      <c r="W192" s="22">
        <f t="shared" si="100"/>
        <v>-0.80615021513043894</v>
      </c>
      <c r="X192" s="70">
        <f t="shared" si="100"/>
        <v>-0.96950407858084953</v>
      </c>
    </row>
    <row r="193" spans="2:24" x14ac:dyDescent="0.35">
      <c r="B193" s="76"/>
      <c r="C193" s="17">
        <v>0.7</v>
      </c>
      <c r="D193" s="22">
        <f t="shared" si="101"/>
        <v>2.1689711283343902</v>
      </c>
      <c r="E193" s="22">
        <f t="shared" si="101"/>
        <v>2.0056172648839796</v>
      </c>
      <c r="F193" s="22">
        <f t="shared" si="100"/>
        <v>1.8422634014335695</v>
      </c>
      <c r="G193" s="22">
        <f t="shared" si="100"/>
        <v>1.6789095379831591</v>
      </c>
      <c r="H193" s="22">
        <f t="shared" si="100"/>
        <v>1.515555674532749</v>
      </c>
      <c r="I193" s="22">
        <f t="shared" si="100"/>
        <v>1.3522018110823386</v>
      </c>
      <c r="J193" s="22">
        <f t="shared" si="100"/>
        <v>1.1888479476319285</v>
      </c>
      <c r="K193" s="22">
        <f t="shared" si="100"/>
        <v>1.0254940841815181</v>
      </c>
      <c r="L193" s="22">
        <f t="shared" si="100"/>
        <v>0.86214022073110774</v>
      </c>
      <c r="M193" s="22">
        <f t="shared" si="100"/>
        <v>0.69878635728069738</v>
      </c>
      <c r="N193" s="22">
        <f t="shared" si="100"/>
        <v>0.53543249383028724</v>
      </c>
      <c r="O193" s="22">
        <f t="shared" si="100"/>
        <v>0.37207863037987687</v>
      </c>
      <c r="P193" s="22">
        <f t="shared" si="100"/>
        <v>0.20872476692946673</v>
      </c>
      <c r="Q193" s="22">
        <f t="shared" si="100"/>
        <v>4.5370903479056368E-2</v>
      </c>
      <c r="R193" s="22">
        <f t="shared" si="100"/>
        <v>-0.11798295997135377</v>
      </c>
      <c r="S193" s="22">
        <f t="shared" si="100"/>
        <v>-0.28133682342176436</v>
      </c>
      <c r="T193" s="22">
        <f t="shared" si="100"/>
        <v>-0.4446906868721745</v>
      </c>
      <c r="U193" s="22">
        <f t="shared" si="100"/>
        <v>-0.60804455032258464</v>
      </c>
      <c r="V193" s="22">
        <f t="shared" si="100"/>
        <v>-0.77139841377299523</v>
      </c>
      <c r="W193" s="22">
        <f t="shared" si="100"/>
        <v>-0.93475227722340493</v>
      </c>
      <c r="X193" s="70">
        <f t="shared" si="100"/>
        <v>-1.0981061406738155</v>
      </c>
    </row>
    <row r="194" spans="2:24" x14ac:dyDescent="0.35">
      <c r="B194" s="76"/>
      <c r="C194" s="17">
        <v>0.65</v>
      </c>
      <c r="D194" s="22">
        <f t="shared" si="101"/>
        <v>2.040369066241424</v>
      </c>
      <c r="E194" s="22">
        <f t="shared" si="101"/>
        <v>1.8770152027910139</v>
      </c>
      <c r="F194" s="22">
        <f t="shared" si="100"/>
        <v>1.7136613393406037</v>
      </c>
      <c r="G194" s="22">
        <f t="shared" si="100"/>
        <v>1.5503074758901934</v>
      </c>
      <c r="H194" s="22">
        <f t="shared" si="100"/>
        <v>1.3869536124397832</v>
      </c>
      <c r="I194" s="22">
        <f t="shared" si="100"/>
        <v>1.2235997489893728</v>
      </c>
      <c r="J194" s="22">
        <f t="shared" si="100"/>
        <v>1.0602458855389627</v>
      </c>
      <c r="K194" s="22">
        <f t="shared" si="100"/>
        <v>0.89689202208855234</v>
      </c>
      <c r="L194" s="22">
        <f t="shared" si="100"/>
        <v>0.73353815863814198</v>
      </c>
      <c r="M194" s="22">
        <f t="shared" si="100"/>
        <v>0.57018429518773162</v>
      </c>
      <c r="N194" s="22">
        <f t="shared" si="100"/>
        <v>0.40683043173732147</v>
      </c>
      <c r="O194" s="22">
        <f t="shared" si="100"/>
        <v>0.24347656828691111</v>
      </c>
      <c r="P194" s="22">
        <f t="shared" si="100"/>
        <v>8.0122704836500969E-2</v>
      </c>
      <c r="Q194" s="22">
        <f t="shared" si="100"/>
        <v>-8.3231158613909395E-2</v>
      </c>
      <c r="R194" s="22">
        <f t="shared" si="100"/>
        <v>-0.24658502206431954</v>
      </c>
      <c r="S194" s="22">
        <f t="shared" si="100"/>
        <v>-0.40993888551473012</v>
      </c>
      <c r="T194" s="22">
        <f t="shared" si="100"/>
        <v>-0.57329274896514026</v>
      </c>
      <c r="U194" s="22">
        <f t="shared" si="100"/>
        <v>-0.73664661241555041</v>
      </c>
      <c r="V194" s="22">
        <f t="shared" si="100"/>
        <v>-0.90000047586596099</v>
      </c>
      <c r="W194" s="22">
        <f t="shared" si="100"/>
        <v>-1.0633543393163707</v>
      </c>
      <c r="X194" s="70">
        <f t="shared" si="100"/>
        <v>-1.2267082027667813</v>
      </c>
    </row>
    <row r="195" spans="2:24" x14ac:dyDescent="0.35">
      <c r="B195" s="76"/>
      <c r="C195" s="17">
        <v>0.6</v>
      </c>
      <c r="D195" s="22">
        <f t="shared" si="101"/>
        <v>1.9117670041484582</v>
      </c>
      <c r="E195" s="22">
        <f t="shared" si="101"/>
        <v>1.7484131406980479</v>
      </c>
      <c r="F195" s="22">
        <f t="shared" si="100"/>
        <v>1.5850592772476377</v>
      </c>
      <c r="G195" s="22">
        <f t="shared" si="100"/>
        <v>1.4217054137972274</v>
      </c>
      <c r="H195" s="22">
        <f t="shared" si="100"/>
        <v>1.2583515503468172</v>
      </c>
      <c r="I195" s="22">
        <f t="shared" si="100"/>
        <v>1.0949976868964069</v>
      </c>
      <c r="J195" s="22">
        <f t="shared" si="100"/>
        <v>0.93164382344599661</v>
      </c>
      <c r="K195" s="22">
        <f t="shared" si="100"/>
        <v>0.76828995999558636</v>
      </c>
      <c r="L195" s="22">
        <f t="shared" si="100"/>
        <v>0.60493609654517599</v>
      </c>
      <c r="M195" s="22">
        <f t="shared" si="100"/>
        <v>0.44158223309476563</v>
      </c>
      <c r="N195" s="22">
        <f t="shared" si="100"/>
        <v>0.27822836964435549</v>
      </c>
      <c r="O195" s="22">
        <f t="shared" si="100"/>
        <v>0.11487450619394513</v>
      </c>
      <c r="P195" s="22">
        <f t="shared" si="100"/>
        <v>-4.8479357256465017E-2</v>
      </c>
      <c r="Q195" s="22">
        <f t="shared" si="100"/>
        <v>-0.21183322070687538</v>
      </c>
      <c r="R195" s="22">
        <f t="shared" si="100"/>
        <v>-0.37518708415728552</v>
      </c>
      <c r="S195" s="22">
        <f t="shared" si="100"/>
        <v>-0.53854094760769611</v>
      </c>
      <c r="T195" s="22">
        <f t="shared" si="100"/>
        <v>-0.70189481105810625</v>
      </c>
      <c r="U195" s="22">
        <f t="shared" si="100"/>
        <v>-0.86524867450851639</v>
      </c>
      <c r="V195" s="22">
        <f t="shared" si="100"/>
        <v>-1.028602537958927</v>
      </c>
      <c r="W195" s="22">
        <f t="shared" si="100"/>
        <v>-1.1919564014093367</v>
      </c>
      <c r="X195" s="70">
        <f t="shared" si="100"/>
        <v>-1.3553102648597473</v>
      </c>
    </row>
    <row r="196" spans="2:24" x14ac:dyDescent="0.35">
      <c r="B196" s="76"/>
      <c r="C196" s="17">
        <v>0.55000000000000004</v>
      </c>
      <c r="D196" s="22">
        <f t="shared" si="101"/>
        <v>1.7831649420554925</v>
      </c>
      <c r="E196" s="22">
        <f t="shared" si="101"/>
        <v>1.6198110786050821</v>
      </c>
      <c r="F196" s="22">
        <f t="shared" si="100"/>
        <v>1.456457215154672</v>
      </c>
      <c r="G196" s="22">
        <f t="shared" si="100"/>
        <v>1.2931033517042616</v>
      </c>
      <c r="H196" s="22">
        <f t="shared" si="100"/>
        <v>1.1297494882538515</v>
      </c>
      <c r="I196" s="22">
        <f t="shared" si="100"/>
        <v>0.9663956248034411</v>
      </c>
      <c r="J196" s="22">
        <f t="shared" si="100"/>
        <v>0.80304176135303085</v>
      </c>
      <c r="K196" s="22">
        <f t="shared" si="100"/>
        <v>0.63968789790262059</v>
      </c>
      <c r="L196" s="22">
        <f t="shared" si="100"/>
        <v>0.47633403445221023</v>
      </c>
      <c r="M196" s="22">
        <f t="shared" si="100"/>
        <v>0.31298017100179987</v>
      </c>
      <c r="N196" s="22">
        <f t="shared" si="100"/>
        <v>0.14962630755138973</v>
      </c>
      <c r="O196" s="22">
        <f t="shared" si="100"/>
        <v>-1.3727555899020638E-2</v>
      </c>
      <c r="P196" s="22">
        <f t="shared" si="100"/>
        <v>-0.17708141934943078</v>
      </c>
      <c r="Q196" s="22">
        <f t="shared" si="100"/>
        <v>-0.34043528279984114</v>
      </c>
      <c r="R196" s="22">
        <f t="shared" si="100"/>
        <v>-0.50378914625025129</v>
      </c>
      <c r="S196" s="22">
        <f t="shared" si="100"/>
        <v>-0.66714300970066187</v>
      </c>
      <c r="T196" s="22">
        <f t="shared" si="100"/>
        <v>-0.83049687315107201</v>
      </c>
      <c r="U196" s="22">
        <f t="shared" si="100"/>
        <v>-0.99385073660148215</v>
      </c>
      <c r="V196" s="22">
        <f t="shared" si="100"/>
        <v>-1.1572046000518927</v>
      </c>
      <c r="W196" s="22">
        <f t="shared" si="100"/>
        <v>-1.3205584635023024</v>
      </c>
      <c r="X196" s="70">
        <f t="shared" si="100"/>
        <v>-1.483912326952713</v>
      </c>
    </row>
    <row r="197" spans="2:24" x14ac:dyDescent="0.35">
      <c r="B197" s="76"/>
      <c r="C197" s="17">
        <v>0.5</v>
      </c>
      <c r="D197" s="22">
        <f t="shared" si="101"/>
        <v>1.6545628799625265</v>
      </c>
      <c r="E197" s="22">
        <f t="shared" si="101"/>
        <v>1.4912090165121161</v>
      </c>
      <c r="F197" s="22">
        <f t="shared" si="100"/>
        <v>1.327855153061706</v>
      </c>
      <c r="G197" s="22">
        <f t="shared" si="100"/>
        <v>1.1645012896112956</v>
      </c>
      <c r="H197" s="22">
        <f t="shared" si="100"/>
        <v>1.0011474261608853</v>
      </c>
      <c r="I197" s="22">
        <f t="shared" si="100"/>
        <v>0.83779356271047511</v>
      </c>
      <c r="J197" s="22">
        <f t="shared" si="100"/>
        <v>0.67443969926006486</v>
      </c>
      <c r="K197" s="22">
        <f t="shared" si="100"/>
        <v>0.51108583580965461</v>
      </c>
      <c r="L197" s="22">
        <f t="shared" si="100"/>
        <v>0.34773197235924425</v>
      </c>
      <c r="M197" s="22">
        <f t="shared" si="100"/>
        <v>0.18437810890883388</v>
      </c>
      <c r="N197" s="22">
        <f t="shared" si="100"/>
        <v>2.102424545842374E-2</v>
      </c>
      <c r="O197" s="22">
        <f t="shared" si="100"/>
        <v>-0.14232961799198662</v>
      </c>
      <c r="P197" s="22">
        <f t="shared" si="100"/>
        <v>-0.30568348144239677</v>
      </c>
      <c r="Q197" s="22">
        <f t="shared" si="100"/>
        <v>-0.46903734489280713</v>
      </c>
      <c r="R197" s="22">
        <f t="shared" si="100"/>
        <v>-0.63239120834321727</v>
      </c>
      <c r="S197" s="22">
        <f t="shared" si="100"/>
        <v>-0.79574507179362786</v>
      </c>
      <c r="T197" s="22">
        <f t="shared" si="100"/>
        <v>-0.959098935244038</v>
      </c>
      <c r="U197" s="22">
        <f t="shared" si="100"/>
        <v>-1.1224527986944481</v>
      </c>
      <c r="V197" s="22">
        <f t="shared" si="100"/>
        <v>-1.2858066621448587</v>
      </c>
      <c r="W197" s="22">
        <f t="shared" si="100"/>
        <v>-1.4491605255952684</v>
      </c>
      <c r="X197" s="70">
        <f t="shared" si="100"/>
        <v>-1.612514389045679</v>
      </c>
    </row>
    <row r="198" spans="2:24" x14ac:dyDescent="0.35">
      <c r="B198" s="76"/>
      <c r="C198" s="17">
        <v>0.45</v>
      </c>
      <c r="D198" s="22">
        <f t="shared" si="101"/>
        <v>1.5259608178695607</v>
      </c>
      <c r="E198" s="22">
        <f t="shared" si="101"/>
        <v>1.3626069544191504</v>
      </c>
      <c r="F198" s="22">
        <f t="shared" si="100"/>
        <v>1.1992530909687402</v>
      </c>
      <c r="G198" s="22">
        <f t="shared" si="100"/>
        <v>1.0358992275183299</v>
      </c>
      <c r="H198" s="22">
        <f t="shared" si="100"/>
        <v>0.8725453640679196</v>
      </c>
      <c r="I198" s="22">
        <f t="shared" si="100"/>
        <v>0.70919150061750935</v>
      </c>
      <c r="J198" s="22">
        <f t="shared" si="100"/>
        <v>0.5458376371670991</v>
      </c>
      <c r="K198" s="22">
        <f t="shared" si="100"/>
        <v>0.38248377371668885</v>
      </c>
      <c r="L198" s="22">
        <f t="shared" si="100"/>
        <v>0.21912991026627848</v>
      </c>
      <c r="M198" s="22">
        <f t="shared" si="100"/>
        <v>5.5776046815868119E-2</v>
      </c>
      <c r="N198" s="22">
        <f t="shared" si="100"/>
        <v>-0.10757781663454202</v>
      </c>
      <c r="O198" s="22">
        <f t="shared" si="100"/>
        <v>-0.27093168008495239</v>
      </c>
      <c r="P198" s="22">
        <f t="shared" si="100"/>
        <v>-0.43428554353536253</v>
      </c>
      <c r="Q198" s="22">
        <f t="shared" si="100"/>
        <v>-0.59763940698577289</v>
      </c>
      <c r="R198" s="22">
        <f t="shared" si="100"/>
        <v>-0.76099327043618303</v>
      </c>
      <c r="S198" s="22">
        <f t="shared" si="100"/>
        <v>-0.92434713388659362</v>
      </c>
      <c r="T198" s="22">
        <f t="shared" si="100"/>
        <v>-1.0877009973370038</v>
      </c>
      <c r="U198" s="22">
        <f t="shared" si="100"/>
        <v>-1.2510548607874139</v>
      </c>
      <c r="V198" s="22">
        <f t="shared" si="100"/>
        <v>-1.4144087242378245</v>
      </c>
      <c r="W198" s="22">
        <f t="shared" si="100"/>
        <v>-1.5777625876882342</v>
      </c>
      <c r="X198" s="70">
        <f t="shared" si="100"/>
        <v>-1.7411164511386448</v>
      </c>
    </row>
    <row r="199" spans="2:24" x14ac:dyDescent="0.35">
      <c r="B199" s="76"/>
      <c r="C199" s="17">
        <v>0.4</v>
      </c>
      <c r="D199" s="22">
        <f t="shared" si="101"/>
        <v>1.3973587557765947</v>
      </c>
      <c r="E199" s="22">
        <f t="shared" si="101"/>
        <v>1.2340048923261846</v>
      </c>
      <c r="F199" s="22">
        <f t="shared" si="100"/>
        <v>1.0706510288757742</v>
      </c>
      <c r="G199" s="22">
        <f t="shared" si="100"/>
        <v>0.90729716542536387</v>
      </c>
      <c r="H199" s="22">
        <f t="shared" si="100"/>
        <v>0.74394330197495362</v>
      </c>
      <c r="I199" s="22">
        <f t="shared" si="100"/>
        <v>0.58058943852454337</v>
      </c>
      <c r="J199" s="22">
        <f t="shared" si="100"/>
        <v>0.41723557507413311</v>
      </c>
      <c r="K199" s="22">
        <f t="shared" si="100"/>
        <v>0.25388171162372286</v>
      </c>
      <c r="L199" s="22">
        <f t="shared" si="100"/>
        <v>9.0527848173312497E-2</v>
      </c>
      <c r="M199" s="22">
        <f t="shared" si="100"/>
        <v>-7.2826015277097866E-2</v>
      </c>
      <c r="N199" s="22">
        <f t="shared" si="100"/>
        <v>-0.23617987872750801</v>
      </c>
      <c r="O199" s="22">
        <f t="shared" si="100"/>
        <v>-0.39953374217791837</v>
      </c>
      <c r="P199" s="22">
        <f t="shared" si="100"/>
        <v>-0.56288760562832851</v>
      </c>
      <c r="Q199" s="22">
        <f t="shared" si="100"/>
        <v>-0.72624146907873888</v>
      </c>
      <c r="R199" s="22">
        <f t="shared" si="100"/>
        <v>-0.88959533252914902</v>
      </c>
      <c r="S199" s="22">
        <f t="shared" si="100"/>
        <v>-1.0529491959795596</v>
      </c>
      <c r="T199" s="22">
        <f t="shared" si="100"/>
        <v>-1.2163030594299697</v>
      </c>
      <c r="U199" s="22">
        <f t="shared" si="100"/>
        <v>-1.3796569228803799</v>
      </c>
      <c r="V199" s="22">
        <f t="shared" si="100"/>
        <v>-1.5430107863307905</v>
      </c>
      <c r="W199" s="22">
        <f t="shared" si="100"/>
        <v>-1.7063646497812004</v>
      </c>
      <c r="X199" s="70">
        <f t="shared" si="100"/>
        <v>-1.869718513231611</v>
      </c>
    </row>
    <row r="200" spans="2:24" x14ac:dyDescent="0.35">
      <c r="B200" s="76"/>
      <c r="C200" s="17">
        <v>0.35</v>
      </c>
      <c r="D200" s="22">
        <f t="shared" si="101"/>
        <v>1.2687566936836288</v>
      </c>
      <c r="E200" s="22">
        <f t="shared" si="101"/>
        <v>1.1054028302332184</v>
      </c>
      <c r="F200" s="22">
        <f t="shared" si="100"/>
        <v>0.94204896678280825</v>
      </c>
      <c r="G200" s="22">
        <f t="shared" si="100"/>
        <v>0.77869510333239789</v>
      </c>
      <c r="H200" s="22">
        <f t="shared" si="100"/>
        <v>0.61534123988198763</v>
      </c>
      <c r="I200" s="22">
        <f t="shared" si="100"/>
        <v>0.45198737643157738</v>
      </c>
      <c r="J200" s="22">
        <f t="shared" si="100"/>
        <v>0.28863351298116713</v>
      </c>
      <c r="K200" s="22">
        <f t="shared" si="100"/>
        <v>0.12527964953075688</v>
      </c>
      <c r="L200" s="22">
        <f t="shared" si="100"/>
        <v>-3.8074213919653488E-2</v>
      </c>
      <c r="M200" s="22">
        <f t="shared" si="100"/>
        <v>-0.20142807737006385</v>
      </c>
      <c r="N200" s="22">
        <f t="shared" ref="N200:X207" si="102">(N$208 * $P$5) + ($C200 * $P$6) + $P$8</f>
        <v>-0.36478194082047399</v>
      </c>
      <c r="O200" s="22">
        <f t="shared" si="102"/>
        <v>-0.52813580427088436</v>
      </c>
      <c r="P200" s="22">
        <f t="shared" si="102"/>
        <v>-0.6914896677212945</v>
      </c>
      <c r="Q200" s="22">
        <f t="shared" si="102"/>
        <v>-0.85484353117170486</v>
      </c>
      <c r="R200" s="22">
        <f t="shared" si="102"/>
        <v>-1.018197394622115</v>
      </c>
      <c r="S200" s="22">
        <f t="shared" si="102"/>
        <v>-1.1815512580725256</v>
      </c>
      <c r="T200" s="22">
        <f t="shared" si="102"/>
        <v>-1.3449051215229357</v>
      </c>
      <c r="U200" s="22">
        <f t="shared" si="102"/>
        <v>-1.5082589849733459</v>
      </c>
      <c r="V200" s="22">
        <f t="shared" si="102"/>
        <v>-1.6716128484237565</v>
      </c>
      <c r="W200" s="22">
        <f t="shared" si="102"/>
        <v>-1.8349667118741662</v>
      </c>
      <c r="X200" s="70">
        <f t="shared" si="102"/>
        <v>-1.9983205753245767</v>
      </c>
    </row>
    <row r="201" spans="2:24" x14ac:dyDescent="0.35">
      <c r="B201" s="76"/>
      <c r="C201" s="17">
        <v>0.3</v>
      </c>
      <c r="D201" s="22">
        <f t="shared" si="101"/>
        <v>1.1401546315906628</v>
      </c>
      <c r="E201" s="22">
        <f t="shared" si="101"/>
        <v>0.97680076814025263</v>
      </c>
      <c r="F201" s="22">
        <f t="shared" si="101"/>
        <v>0.81344690468984227</v>
      </c>
      <c r="G201" s="22">
        <f t="shared" si="101"/>
        <v>0.65009304123943212</v>
      </c>
      <c r="H201" s="22">
        <f t="shared" si="101"/>
        <v>0.48673917778902176</v>
      </c>
      <c r="I201" s="22">
        <f t="shared" si="101"/>
        <v>0.32338531433861151</v>
      </c>
      <c r="J201" s="22">
        <f t="shared" si="101"/>
        <v>0.16003145088820125</v>
      </c>
      <c r="K201" s="22">
        <f t="shared" si="101"/>
        <v>-3.3224125622089984E-3</v>
      </c>
      <c r="L201" s="22">
        <f t="shared" si="101"/>
        <v>-0.16667627601261936</v>
      </c>
      <c r="M201" s="22">
        <f t="shared" si="101"/>
        <v>-0.33003013946302973</v>
      </c>
      <c r="N201" s="22">
        <f t="shared" si="101"/>
        <v>-0.49338400291343987</v>
      </c>
      <c r="O201" s="22">
        <f t="shared" si="101"/>
        <v>-0.65673786636385034</v>
      </c>
      <c r="P201" s="22">
        <f t="shared" si="101"/>
        <v>-0.82009172981426048</v>
      </c>
      <c r="Q201" s="22">
        <f t="shared" si="101"/>
        <v>-0.98344559326467063</v>
      </c>
      <c r="R201" s="22">
        <f t="shared" si="101"/>
        <v>-1.1467994567150808</v>
      </c>
      <c r="S201" s="22">
        <f t="shared" si="101"/>
        <v>-1.3101533201654914</v>
      </c>
      <c r="T201" s="22">
        <f t="shared" si="101"/>
        <v>-1.4735071836159015</v>
      </c>
      <c r="U201" s="22">
        <f t="shared" si="102"/>
        <v>-1.6368610470663116</v>
      </c>
      <c r="V201" s="22">
        <f t="shared" si="102"/>
        <v>-1.8002149105167222</v>
      </c>
      <c r="W201" s="22">
        <f t="shared" si="102"/>
        <v>-1.9635687739671319</v>
      </c>
      <c r="X201" s="70">
        <f t="shared" si="102"/>
        <v>-2.1269226374175423</v>
      </c>
    </row>
    <row r="202" spans="2:24" x14ac:dyDescent="0.35">
      <c r="B202" s="76"/>
      <c r="C202" s="17">
        <v>0.25</v>
      </c>
      <c r="D202" s="22">
        <f t="shared" si="101"/>
        <v>1.011552569497697</v>
      </c>
      <c r="E202" s="22">
        <f t="shared" si="101"/>
        <v>0.84819870604728675</v>
      </c>
      <c r="F202" s="22">
        <f t="shared" si="101"/>
        <v>0.6848448425968765</v>
      </c>
      <c r="G202" s="22">
        <f t="shared" si="101"/>
        <v>0.52149097914646614</v>
      </c>
      <c r="H202" s="22">
        <f t="shared" si="101"/>
        <v>0.35813711569605589</v>
      </c>
      <c r="I202" s="22">
        <f t="shared" si="101"/>
        <v>0.19478325224564563</v>
      </c>
      <c r="J202" s="22">
        <f t="shared" si="101"/>
        <v>3.142938879523538E-2</v>
      </c>
      <c r="K202" s="22">
        <f t="shared" si="101"/>
        <v>-0.13192447465517487</v>
      </c>
      <c r="L202" s="22">
        <f t="shared" si="101"/>
        <v>-0.29527833810558524</v>
      </c>
      <c r="M202" s="22">
        <f t="shared" si="101"/>
        <v>-0.4586322015559956</v>
      </c>
      <c r="N202" s="22">
        <f t="shared" si="101"/>
        <v>-0.62198606500640574</v>
      </c>
      <c r="O202" s="22">
        <f t="shared" si="101"/>
        <v>-0.78533992845681611</v>
      </c>
      <c r="P202" s="22">
        <f t="shared" si="101"/>
        <v>-0.94869379190722625</v>
      </c>
      <c r="Q202" s="22">
        <f t="shared" si="101"/>
        <v>-1.1120476553576366</v>
      </c>
      <c r="R202" s="22">
        <f t="shared" si="101"/>
        <v>-1.2754015188080468</v>
      </c>
      <c r="S202" s="22">
        <f t="shared" si="101"/>
        <v>-1.4387553822584573</v>
      </c>
      <c r="T202" s="22">
        <f t="shared" si="101"/>
        <v>-1.6021092457088675</v>
      </c>
      <c r="U202" s="22">
        <f t="shared" si="102"/>
        <v>-1.7654631091592778</v>
      </c>
      <c r="V202" s="22">
        <f t="shared" si="102"/>
        <v>-1.9288169726096884</v>
      </c>
      <c r="W202" s="22">
        <f t="shared" si="102"/>
        <v>-2.0921708360600979</v>
      </c>
      <c r="X202" s="70">
        <f t="shared" si="102"/>
        <v>-2.2555246995105085</v>
      </c>
    </row>
    <row r="203" spans="2:24" x14ac:dyDescent="0.35">
      <c r="B203" s="76"/>
      <c r="C203" s="17">
        <v>0.2</v>
      </c>
      <c r="D203" s="22">
        <f t="shared" si="101"/>
        <v>0.88295050740473113</v>
      </c>
      <c r="E203" s="22">
        <f t="shared" si="101"/>
        <v>0.71959664395432088</v>
      </c>
      <c r="F203" s="22">
        <f t="shared" si="101"/>
        <v>0.55624278050391052</v>
      </c>
      <c r="G203" s="22">
        <f t="shared" si="101"/>
        <v>0.39288891705350032</v>
      </c>
      <c r="H203" s="22">
        <f t="shared" si="101"/>
        <v>0.22953505360309001</v>
      </c>
      <c r="I203" s="22">
        <f t="shared" si="101"/>
        <v>6.6181190152679759E-2</v>
      </c>
      <c r="J203" s="22">
        <f t="shared" si="101"/>
        <v>-9.7172673297730494E-2</v>
      </c>
      <c r="K203" s="22">
        <f t="shared" si="101"/>
        <v>-0.26052653674814075</v>
      </c>
      <c r="L203" s="22">
        <f t="shared" si="101"/>
        <v>-0.42388040019855111</v>
      </c>
      <c r="M203" s="22">
        <f t="shared" si="101"/>
        <v>-0.58723426364896147</v>
      </c>
      <c r="N203" s="22">
        <f t="shared" si="101"/>
        <v>-0.75058812709937173</v>
      </c>
      <c r="O203" s="22">
        <f t="shared" si="101"/>
        <v>-0.91394199054978187</v>
      </c>
      <c r="P203" s="22">
        <f t="shared" si="101"/>
        <v>-1.077295854000192</v>
      </c>
      <c r="Q203" s="22">
        <f t="shared" si="101"/>
        <v>-1.2406497174506026</v>
      </c>
      <c r="R203" s="22">
        <f t="shared" si="101"/>
        <v>-1.4040035809010127</v>
      </c>
      <c r="S203" s="22">
        <f t="shared" si="101"/>
        <v>-1.5673574443514233</v>
      </c>
      <c r="T203" s="22">
        <f t="shared" si="101"/>
        <v>-1.7307113078018335</v>
      </c>
      <c r="U203" s="22">
        <f t="shared" si="102"/>
        <v>-1.8940651712522436</v>
      </c>
      <c r="V203" s="22">
        <f t="shared" si="102"/>
        <v>-2.0574190347026544</v>
      </c>
      <c r="W203" s="22">
        <f t="shared" si="102"/>
        <v>-2.2207728981530641</v>
      </c>
      <c r="X203" s="70">
        <f t="shared" si="102"/>
        <v>-2.3841267616034747</v>
      </c>
    </row>
    <row r="204" spans="2:24" x14ac:dyDescent="0.35">
      <c r="B204" s="76"/>
      <c r="C204" s="17">
        <v>0.15</v>
      </c>
      <c r="D204" s="22">
        <f t="shared" si="101"/>
        <v>0.75434844531176526</v>
      </c>
      <c r="E204" s="22">
        <f t="shared" si="101"/>
        <v>0.5909945818613549</v>
      </c>
      <c r="F204" s="22">
        <f t="shared" si="101"/>
        <v>0.42764071841094464</v>
      </c>
      <c r="G204" s="22">
        <f t="shared" si="101"/>
        <v>0.26428685496053439</v>
      </c>
      <c r="H204" s="22">
        <f t="shared" si="101"/>
        <v>0.10093299151012408</v>
      </c>
      <c r="I204" s="22">
        <f t="shared" si="101"/>
        <v>-6.2420871940286171E-2</v>
      </c>
      <c r="J204" s="22">
        <f t="shared" si="101"/>
        <v>-0.22577473539069648</v>
      </c>
      <c r="K204" s="22">
        <f t="shared" si="101"/>
        <v>-0.38912859884110662</v>
      </c>
      <c r="L204" s="22">
        <f t="shared" si="101"/>
        <v>-0.55248246229151698</v>
      </c>
      <c r="M204" s="22">
        <f t="shared" si="101"/>
        <v>-0.71583632574192735</v>
      </c>
      <c r="N204" s="22">
        <f t="shared" si="101"/>
        <v>-0.87919018919233749</v>
      </c>
      <c r="O204" s="22">
        <f t="shared" si="101"/>
        <v>-1.0425440526427479</v>
      </c>
      <c r="P204" s="22">
        <f t="shared" si="101"/>
        <v>-1.205897916093158</v>
      </c>
      <c r="Q204" s="22">
        <f t="shared" si="101"/>
        <v>-1.3692517795435684</v>
      </c>
      <c r="R204" s="22">
        <f t="shared" si="101"/>
        <v>-1.5326056429939785</v>
      </c>
      <c r="S204" s="22">
        <f t="shared" si="101"/>
        <v>-1.6959595064443891</v>
      </c>
      <c r="T204" s="22">
        <f t="shared" si="101"/>
        <v>-1.8593133698947992</v>
      </c>
      <c r="U204" s="22">
        <f t="shared" si="102"/>
        <v>-2.0226672333452091</v>
      </c>
      <c r="V204" s="22">
        <f t="shared" si="102"/>
        <v>-2.1860210967956197</v>
      </c>
      <c r="W204" s="22">
        <f t="shared" si="102"/>
        <v>-2.3493749602460294</v>
      </c>
      <c r="X204" s="70">
        <f t="shared" si="102"/>
        <v>-2.51272882369644</v>
      </c>
    </row>
    <row r="205" spans="2:24" x14ac:dyDescent="0.35">
      <c r="B205" s="76"/>
      <c r="C205" s="17">
        <v>0.1</v>
      </c>
      <c r="D205" s="22">
        <f t="shared" si="101"/>
        <v>0.62574638321879927</v>
      </c>
      <c r="E205" s="22">
        <f t="shared" si="101"/>
        <v>0.46239251976838902</v>
      </c>
      <c r="F205" s="22">
        <f t="shared" si="101"/>
        <v>0.29903865631797877</v>
      </c>
      <c r="G205" s="22">
        <f t="shared" si="101"/>
        <v>0.13568479286756852</v>
      </c>
      <c r="H205" s="22">
        <f t="shared" si="101"/>
        <v>-2.7669070582841793E-2</v>
      </c>
      <c r="I205" s="22">
        <f t="shared" si="101"/>
        <v>-0.1910229340332521</v>
      </c>
      <c r="J205" s="22">
        <f t="shared" si="101"/>
        <v>-0.35437679748366224</v>
      </c>
      <c r="K205" s="22">
        <f t="shared" si="101"/>
        <v>-0.51773066093407261</v>
      </c>
      <c r="L205" s="22">
        <f t="shared" si="101"/>
        <v>-0.68108452438448297</v>
      </c>
      <c r="M205" s="22">
        <f t="shared" si="101"/>
        <v>-0.84443838783489333</v>
      </c>
      <c r="N205" s="22">
        <f t="shared" si="101"/>
        <v>-1.0077922512853035</v>
      </c>
      <c r="O205" s="22">
        <f t="shared" si="101"/>
        <v>-1.1711461147357138</v>
      </c>
      <c r="P205" s="22">
        <f t="shared" si="101"/>
        <v>-1.334499978186124</v>
      </c>
      <c r="Q205" s="22">
        <f t="shared" si="101"/>
        <v>-1.4978538416365343</v>
      </c>
      <c r="R205" s="22">
        <f t="shared" si="101"/>
        <v>-1.6612077050869443</v>
      </c>
      <c r="S205" s="22">
        <f t="shared" si="101"/>
        <v>-1.8245615685373548</v>
      </c>
      <c r="T205" s="22">
        <f t="shared" si="101"/>
        <v>-1.987915431987765</v>
      </c>
      <c r="U205" s="22">
        <f t="shared" si="102"/>
        <v>-2.1512692954381754</v>
      </c>
      <c r="V205" s="22">
        <f t="shared" si="102"/>
        <v>-2.3146231588885859</v>
      </c>
      <c r="W205" s="22">
        <f t="shared" si="102"/>
        <v>-2.4779770223389956</v>
      </c>
      <c r="X205" s="70">
        <f t="shared" si="102"/>
        <v>-2.6413308857894062</v>
      </c>
    </row>
    <row r="206" spans="2:24" x14ac:dyDescent="0.35">
      <c r="B206" s="76"/>
      <c r="C206" s="17">
        <v>0.05</v>
      </c>
      <c r="D206" s="22">
        <f t="shared" si="101"/>
        <v>0.4971443211258334</v>
      </c>
      <c r="E206" s="22">
        <f t="shared" si="101"/>
        <v>0.33379045767542315</v>
      </c>
      <c r="F206" s="22">
        <f t="shared" si="101"/>
        <v>0.17043659422501287</v>
      </c>
      <c r="G206" s="22">
        <f t="shared" si="101"/>
        <v>7.0827307746026413E-3</v>
      </c>
      <c r="H206" s="22">
        <f t="shared" si="101"/>
        <v>-0.15627113267580772</v>
      </c>
      <c r="I206" s="22">
        <f t="shared" si="101"/>
        <v>-0.31962499612621798</v>
      </c>
      <c r="J206" s="22">
        <f t="shared" si="101"/>
        <v>-0.48297885957662823</v>
      </c>
      <c r="K206" s="22">
        <f t="shared" si="101"/>
        <v>-0.64633272302703837</v>
      </c>
      <c r="L206" s="22">
        <f t="shared" si="101"/>
        <v>-0.80968658647744873</v>
      </c>
      <c r="M206" s="22">
        <f t="shared" si="101"/>
        <v>-0.9730404499278591</v>
      </c>
      <c r="N206" s="22">
        <f t="shared" si="101"/>
        <v>-1.1363943133782692</v>
      </c>
      <c r="O206" s="22">
        <f t="shared" si="101"/>
        <v>-1.2997481768286796</v>
      </c>
      <c r="P206" s="22">
        <f t="shared" si="101"/>
        <v>-1.4631020402790897</v>
      </c>
      <c r="Q206" s="22">
        <f t="shared" si="101"/>
        <v>-1.6264559037295001</v>
      </c>
      <c r="R206" s="22">
        <f t="shared" si="101"/>
        <v>-1.7898097671799105</v>
      </c>
      <c r="S206" s="22">
        <f t="shared" si="101"/>
        <v>-1.9531636306303211</v>
      </c>
      <c r="T206" s="22">
        <f t="shared" si="101"/>
        <v>-2.116517494080731</v>
      </c>
      <c r="U206" s="22">
        <f t="shared" si="102"/>
        <v>-2.2798713575311416</v>
      </c>
      <c r="V206" s="22">
        <f t="shared" si="102"/>
        <v>-2.4432252209815521</v>
      </c>
      <c r="W206" s="22">
        <f t="shared" si="102"/>
        <v>-2.6065790844319618</v>
      </c>
      <c r="X206" s="70">
        <f t="shared" si="102"/>
        <v>-2.7699329478823724</v>
      </c>
    </row>
    <row r="207" spans="2:24" ht="15" thickBot="1" x14ac:dyDescent="0.4">
      <c r="B207" s="77"/>
      <c r="C207" s="18">
        <v>0</v>
      </c>
      <c r="D207" s="22">
        <f t="shared" si="101"/>
        <v>0.36854225903286753</v>
      </c>
      <c r="E207" s="22">
        <f t="shared" si="101"/>
        <v>0.20518839558245724</v>
      </c>
      <c r="F207" s="22">
        <f t="shared" si="101"/>
        <v>4.1834532132046964E-2</v>
      </c>
      <c r="G207" s="22">
        <f t="shared" si="101"/>
        <v>-0.12151933131836329</v>
      </c>
      <c r="H207" s="22">
        <f t="shared" si="101"/>
        <v>-0.2848731947687736</v>
      </c>
      <c r="I207" s="22">
        <f t="shared" si="101"/>
        <v>-0.44822705821918385</v>
      </c>
      <c r="J207" s="22">
        <f t="shared" si="101"/>
        <v>-0.6115809216695941</v>
      </c>
      <c r="K207" s="22">
        <f t="shared" si="101"/>
        <v>-0.77493478512000435</v>
      </c>
      <c r="L207" s="22">
        <f t="shared" si="101"/>
        <v>-0.93828864857041472</v>
      </c>
      <c r="M207" s="22">
        <f t="shared" si="101"/>
        <v>-1.1016425120208251</v>
      </c>
      <c r="N207" s="22">
        <f t="shared" si="101"/>
        <v>-1.2649963754712352</v>
      </c>
      <c r="O207" s="22">
        <f t="shared" si="101"/>
        <v>-1.4283502389216456</v>
      </c>
      <c r="P207" s="22">
        <f t="shared" si="101"/>
        <v>-1.5917041023720557</v>
      </c>
      <c r="Q207" s="22">
        <f t="shared" si="101"/>
        <v>-1.7550579658224661</v>
      </c>
      <c r="R207" s="22">
        <f t="shared" si="101"/>
        <v>-1.9184118292728762</v>
      </c>
      <c r="S207" s="22">
        <f t="shared" si="101"/>
        <v>-2.0817656927232866</v>
      </c>
      <c r="T207" s="22">
        <f t="shared" si="101"/>
        <v>-2.2451195561736972</v>
      </c>
      <c r="U207" s="22">
        <f t="shared" si="102"/>
        <v>-2.4084734196241069</v>
      </c>
      <c r="V207" s="22">
        <f t="shared" si="102"/>
        <v>-2.5718272830745175</v>
      </c>
      <c r="W207" s="22">
        <f t="shared" si="102"/>
        <v>-2.7351811465249272</v>
      </c>
      <c r="X207" s="70">
        <f t="shared" si="102"/>
        <v>-2.8985350099753378</v>
      </c>
    </row>
    <row r="208" spans="2:24" x14ac:dyDescent="0.35">
      <c r="C208" s="6"/>
      <c r="D208" s="21">
        <v>0</v>
      </c>
      <c r="E208" s="19">
        <v>0.05</v>
      </c>
      <c r="F208" s="19">
        <v>0.1</v>
      </c>
      <c r="G208" s="19">
        <v>0.15</v>
      </c>
      <c r="H208" s="19">
        <v>0.2</v>
      </c>
      <c r="I208" s="19">
        <v>0.25</v>
      </c>
      <c r="J208" s="19">
        <v>0.3</v>
      </c>
      <c r="K208" s="19">
        <v>0.35</v>
      </c>
      <c r="L208" s="19">
        <v>0.4</v>
      </c>
      <c r="M208" s="19">
        <v>0.45</v>
      </c>
      <c r="N208" s="19">
        <v>0.5</v>
      </c>
      <c r="O208" s="19">
        <v>0.55000000000000004</v>
      </c>
      <c r="P208" s="19">
        <v>0.6</v>
      </c>
      <c r="Q208" s="19">
        <v>0.65</v>
      </c>
      <c r="R208" s="19">
        <v>0.7</v>
      </c>
      <c r="S208" s="19">
        <v>0.75</v>
      </c>
      <c r="T208" s="19">
        <v>0.8</v>
      </c>
      <c r="U208" s="19">
        <v>0.85</v>
      </c>
      <c r="V208" s="19">
        <v>0.9</v>
      </c>
      <c r="W208" s="19">
        <v>0.95</v>
      </c>
      <c r="X208" s="71">
        <v>1</v>
      </c>
    </row>
    <row r="209" spans="3:24" ht="21.5" thickBot="1" x14ac:dyDescent="0.55000000000000004">
      <c r="C209" s="6"/>
      <c r="D209" s="78" t="s">
        <v>51</v>
      </c>
      <c r="E209" s="79"/>
      <c r="F209" s="79"/>
      <c r="G209" s="79"/>
      <c r="H209" s="79"/>
      <c r="I209" s="79"/>
      <c r="J209" s="79"/>
      <c r="K209" s="79"/>
      <c r="L209" s="79"/>
      <c r="M209" s="79"/>
      <c r="N209" s="79"/>
      <c r="O209" s="79"/>
      <c r="P209" s="79"/>
      <c r="Q209" s="79"/>
      <c r="R209" s="79"/>
      <c r="S209" s="79"/>
      <c r="T209" s="79"/>
      <c r="U209" s="79"/>
      <c r="V209" s="79"/>
      <c r="W209" s="79"/>
      <c r="X209" s="80"/>
    </row>
  </sheetData>
  <mergeCells count="22">
    <mergeCell ref="B97:D97"/>
    <mergeCell ref="AP3:AU3"/>
    <mergeCell ref="AW3:BB3"/>
    <mergeCell ref="C3:E3"/>
    <mergeCell ref="G3:I3"/>
    <mergeCell ref="X3:AA3"/>
    <mergeCell ref="AC3:AF3"/>
    <mergeCell ref="AI3:AN3"/>
    <mergeCell ref="K3:M3"/>
    <mergeCell ref="R3:U3"/>
    <mergeCell ref="D131:X131"/>
    <mergeCell ref="B108:X108"/>
    <mergeCell ref="B134:X134"/>
    <mergeCell ref="B135:B155"/>
    <mergeCell ref="B109:B129"/>
    <mergeCell ref="B187:B207"/>
    <mergeCell ref="D209:X209"/>
    <mergeCell ref="D157:X157"/>
    <mergeCell ref="B160:X160"/>
    <mergeCell ref="B161:B181"/>
    <mergeCell ref="D183:X183"/>
    <mergeCell ref="B186:X186"/>
  </mergeCells>
  <conditionalFormatting sqref="D109:X129">
    <cfRule type="colorScale" priority="1">
      <colorScale>
        <cfvo type="num" val="0"/>
        <cfvo type="num" val="0.5"/>
        <cfvo type="num" val="1"/>
        <color rgb="FF5A8AC6"/>
        <color rgb="FFFCFCFF"/>
        <color rgb="FFF8696B"/>
      </colorScale>
    </cfRule>
  </conditionalFormatting>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terate_model">
                <anchor moveWithCells="1" sizeWithCells="1">
                  <from>
                    <xdr:col>5</xdr:col>
                    <xdr:colOff>57150</xdr:colOff>
                    <xdr:row>36</xdr:row>
                    <xdr:rowOff>6350</xdr:rowOff>
                  </from>
                  <to>
                    <xdr:col>8</xdr:col>
                    <xdr:colOff>63500</xdr:colOff>
                    <xdr:row>39</xdr:row>
                    <xdr:rowOff>57150</xdr:rowOff>
                  </to>
                </anchor>
              </controlPr>
            </control>
          </mc:Choice>
        </mc:AlternateContent>
        <mc:AlternateContent xmlns:mc="http://schemas.openxmlformats.org/markup-compatibility/2006">
          <mc:Choice Requires="x14">
            <control shapeId="1026" r:id="rId5" name="Button 2">
              <controlPr defaultSize="0" autoFill="0" autoPict="0" macro="[0]!Delete_Iteration_History">
                <anchor moveWithCells="1" sizeWithCells="1">
                  <from>
                    <xdr:col>8</xdr:col>
                    <xdr:colOff>279400</xdr:colOff>
                    <xdr:row>36</xdr:row>
                    <xdr:rowOff>12700</xdr:rowOff>
                  </from>
                  <to>
                    <xdr:col>11</xdr:col>
                    <xdr:colOff>69850</xdr:colOff>
                    <xdr:row>39</xdr:row>
                    <xdr:rowOff>44450</xdr:rowOff>
                  </to>
                </anchor>
              </controlPr>
            </control>
          </mc:Choice>
        </mc:AlternateContent>
        <mc:AlternateContent xmlns:mc="http://schemas.openxmlformats.org/markup-compatibility/2006">
          <mc:Choice Requires="x14">
            <control shapeId="1027" r:id="rId6" name="Button 3">
              <controlPr defaultSize="0" autoFill="0" autoPict="0" macro="[0]!Instantiate_Weights_Random">
                <anchor moveWithCells="1" sizeWithCells="1">
                  <from>
                    <xdr:col>4</xdr:col>
                    <xdr:colOff>425450</xdr:colOff>
                    <xdr:row>40</xdr:row>
                    <xdr:rowOff>120650</xdr:rowOff>
                  </from>
                  <to>
                    <xdr:col>6</xdr:col>
                    <xdr:colOff>609600</xdr:colOff>
                    <xdr:row>43</xdr:row>
                    <xdr:rowOff>101600</xdr:rowOff>
                  </to>
                </anchor>
              </controlPr>
            </control>
          </mc:Choice>
        </mc:AlternateContent>
        <mc:AlternateContent xmlns:mc="http://schemas.openxmlformats.org/markup-compatibility/2006">
          <mc:Choice Requires="x14">
            <control shapeId="1028" r:id="rId7" name="Button 4">
              <controlPr defaultSize="0" autoFill="0" autoPict="0" macro="[0]!Instatite_Weights_Good_Start">
                <anchor moveWithCells="1" sizeWithCells="1">
                  <from>
                    <xdr:col>7</xdr:col>
                    <xdr:colOff>82550</xdr:colOff>
                    <xdr:row>40</xdr:row>
                    <xdr:rowOff>120650</xdr:rowOff>
                  </from>
                  <to>
                    <xdr:col>9</xdr:col>
                    <xdr:colOff>285750</xdr:colOff>
                    <xdr:row>43</xdr:row>
                    <xdr:rowOff>107950</xdr:rowOff>
                  </to>
                </anchor>
              </controlPr>
            </control>
          </mc:Choice>
        </mc:AlternateContent>
        <mc:AlternateContent xmlns:mc="http://schemas.openxmlformats.org/markup-compatibility/2006">
          <mc:Choice Requires="x14">
            <control shapeId="1029" r:id="rId8" name="Button 5">
              <controlPr defaultSize="0" autoFill="0" autoPict="0" macro="[0]!Instantaite_Weights_Bad_Start">
                <anchor moveWithCells="1" sizeWithCells="1">
                  <from>
                    <xdr:col>9</xdr:col>
                    <xdr:colOff>400050</xdr:colOff>
                    <xdr:row>40</xdr:row>
                    <xdr:rowOff>88900</xdr:rowOff>
                  </from>
                  <to>
                    <xdr:col>11</xdr:col>
                    <xdr:colOff>374650</xdr:colOff>
                    <xdr:row>43</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D450-1EBA-4F07-8F09-71E9E9BDA76C}">
  <sheetPr codeName="Sheet2"/>
  <dimension ref="A1:AM218"/>
  <sheetViews>
    <sheetView zoomScale="60" zoomScaleNormal="60" workbookViewId="0">
      <selection activeCell="A3" sqref="A3:V1002"/>
    </sheetView>
  </sheetViews>
  <sheetFormatPr defaultRowHeight="14.5" x14ac:dyDescent="0.35"/>
  <sheetData>
    <row r="1" spans="1:39" x14ac:dyDescent="0.35">
      <c r="A1" t="s">
        <v>59</v>
      </c>
      <c r="C1" s="92" t="s">
        <v>52</v>
      </c>
      <c r="D1" s="92"/>
      <c r="F1" s="92" t="s">
        <v>56</v>
      </c>
      <c r="G1" s="92"/>
      <c r="I1" s="92" t="s">
        <v>55</v>
      </c>
      <c r="J1" s="92"/>
      <c r="L1" s="92" t="s">
        <v>58</v>
      </c>
      <c r="M1" s="92"/>
      <c r="O1" s="92" t="s">
        <v>57</v>
      </c>
      <c r="P1" s="92"/>
      <c r="R1" s="35"/>
      <c r="S1" s="35"/>
    </row>
    <row r="2" spans="1:39" x14ac:dyDescent="0.35">
      <c r="A2" t="s">
        <v>16</v>
      </c>
      <c r="C2" t="s">
        <v>53</v>
      </c>
      <c r="D2" t="s">
        <v>54</v>
      </c>
      <c r="F2" t="s">
        <v>60</v>
      </c>
      <c r="G2" t="s">
        <v>54</v>
      </c>
      <c r="I2" t="s">
        <v>53</v>
      </c>
      <c r="J2" t="s">
        <v>54</v>
      </c>
      <c r="L2" t="s">
        <v>60</v>
      </c>
      <c r="M2" t="s">
        <v>54</v>
      </c>
      <c r="O2" t="s">
        <v>53</v>
      </c>
      <c r="P2" t="s">
        <v>54</v>
      </c>
    </row>
    <row r="3" spans="1:39" x14ac:dyDescent="0.35">
      <c r="A3" s="3">
        <v>2.5922373370131266</v>
      </c>
      <c r="B3" s="3"/>
      <c r="C3" s="3">
        <v>-1.9627383334096435</v>
      </c>
      <c r="D3" s="3">
        <v>-0.10392807478192098</v>
      </c>
      <c r="E3" s="3"/>
      <c r="F3" s="3">
        <v>1.4057724154399844</v>
      </c>
      <c r="G3" s="3">
        <v>1.1757933681889543E-2</v>
      </c>
      <c r="H3" s="3"/>
      <c r="I3" s="3">
        <v>-1.5184785184721812</v>
      </c>
      <c r="J3" s="3">
        <v>-0.23420635860871866</v>
      </c>
      <c r="K3" s="3"/>
      <c r="L3" s="3">
        <v>1.9338440681706226</v>
      </c>
      <c r="M3" s="3">
        <v>-8.9615347351929747E-2</v>
      </c>
      <c r="N3" s="3"/>
      <c r="O3" s="3">
        <v>-0.47432400763116611</v>
      </c>
      <c r="P3" s="3">
        <v>9.4771218436799087E-2</v>
      </c>
      <c r="Q3" s="3"/>
      <c r="R3" s="3"/>
      <c r="S3" s="3"/>
      <c r="T3" s="3"/>
      <c r="U3" s="3"/>
      <c r="X3" s="3"/>
      <c r="Y3" s="3"/>
      <c r="AA3" s="3"/>
      <c r="AB3" s="3"/>
      <c r="AD3" s="3"/>
      <c r="AE3" s="3"/>
      <c r="AG3" s="3"/>
      <c r="AH3" s="3"/>
      <c r="AJ3" s="3"/>
      <c r="AK3" s="3"/>
      <c r="AM3" s="3"/>
    </row>
    <row r="4" spans="1:39" x14ac:dyDescent="0.35">
      <c r="A4" s="3">
        <v>2.5268566015239129</v>
      </c>
      <c r="B4" s="3"/>
      <c r="C4" s="3">
        <v>-1.8744372458736152</v>
      </c>
      <c r="D4" s="3">
        <v>-7.4491701392741111E-2</v>
      </c>
      <c r="E4" s="3"/>
      <c r="F4" s="3">
        <v>1.3865139812228782</v>
      </c>
      <c r="G4" s="3">
        <v>1.4803210720937265E-3</v>
      </c>
      <c r="H4" s="3"/>
      <c r="I4" s="3">
        <v>-1.2812240697622952</v>
      </c>
      <c r="J4" s="3">
        <v>-0.20044480711273183</v>
      </c>
      <c r="K4" s="3"/>
      <c r="L4" s="3">
        <v>2.0132933994181132</v>
      </c>
      <c r="M4" s="3">
        <v>-6.5286273192205022E-2</v>
      </c>
      <c r="N4" s="3"/>
      <c r="O4" s="3">
        <v>-0.56909522606796514</v>
      </c>
      <c r="P4" s="3">
        <v>9.251229090392743E-2</v>
      </c>
      <c r="Q4" s="3"/>
      <c r="R4" s="3"/>
      <c r="S4" s="3"/>
      <c r="T4" s="3"/>
      <c r="U4" s="3"/>
    </row>
    <row r="5" spans="1:39" x14ac:dyDescent="0.35">
      <c r="A5" s="3">
        <v>2.4803678138624288</v>
      </c>
      <c r="B5" s="3"/>
      <c r="C5" s="3">
        <v>-1.8125991813247044</v>
      </c>
      <c r="D5" s="3">
        <v>-4.7152385984893047E-2</v>
      </c>
      <c r="E5" s="3"/>
      <c r="F5" s="3">
        <v>1.3761580234763151</v>
      </c>
      <c r="G5" s="3">
        <v>4.8110159592407165E-4</v>
      </c>
      <c r="H5" s="3"/>
      <c r="I5" s="3">
        <v>-1.0774731333180196</v>
      </c>
      <c r="J5" s="3">
        <v>-0.17361196038219942</v>
      </c>
      <c r="K5" s="3"/>
      <c r="L5" s="3">
        <v>2.0658231379508889</v>
      </c>
      <c r="M5" s="3">
        <v>-4.4070686710490428E-2</v>
      </c>
      <c r="N5" s="3"/>
      <c r="O5" s="3">
        <v>-0.66160751697189257</v>
      </c>
      <c r="P5" s="3">
        <v>9.2808681876433263E-2</v>
      </c>
      <c r="Q5" s="3"/>
      <c r="R5" s="3"/>
      <c r="S5" s="3"/>
      <c r="T5" s="3"/>
      <c r="U5" s="3"/>
    </row>
    <row r="6" spans="1:39" x14ac:dyDescent="0.35">
      <c r="A6" s="3">
        <v>2.4455783325604852</v>
      </c>
      <c r="B6" s="3"/>
      <c r="C6" s="3">
        <v>-1.7771591541126086</v>
      </c>
      <c r="D6" s="3">
        <v>-2.5258281601116594E-2</v>
      </c>
      <c r="E6" s="3"/>
      <c r="F6" s="3">
        <v>1.3711810744790043</v>
      </c>
      <c r="G6" s="3">
        <v>1.2282524826490171E-4</v>
      </c>
      <c r="H6" s="3"/>
      <c r="I6" s="3">
        <v>-0.90050034205986629</v>
      </c>
      <c r="J6" s="3">
        <v>-0.15328447705772608</v>
      </c>
      <c r="K6" s="3"/>
      <c r="L6" s="3">
        <v>2.0951711590190687</v>
      </c>
      <c r="M6" s="3">
        <v>-2.5003573686045E-2</v>
      </c>
      <c r="N6" s="3"/>
      <c r="O6" s="3">
        <v>-0.75441619884832578</v>
      </c>
      <c r="P6" s="3">
        <v>9.5999934236749657E-2</v>
      </c>
      <c r="Q6" s="3"/>
      <c r="R6" s="3"/>
      <c r="S6" s="3"/>
      <c r="T6" s="3"/>
      <c r="U6" s="3"/>
    </row>
    <row r="7" spans="1:39" x14ac:dyDescent="0.35">
      <c r="A7" s="3">
        <v>2.4171477045140728</v>
      </c>
      <c r="B7" s="3"/>
      <c r="C7" s="3">
        <v>-1.7638601361834412</v>
      </c>
      <c r="D7" s="3">
        <v>-6.7664235027214137E-3</v>
      </c>
      <c r="E7" s="3"/>
      <c r="F7" s="3">
        <v>1.3718393800314295</v>
      </c>
      <c r="G7" s="3">
        <v>-5.0180406117594778E-6</v>
      </c>
      <c r="H7" s="3"/>
      <c r="I7" s="3">
        <v>-0.74376683117591391</v>
      </c>
      <c r="J7" s="3">
        <v>-0.13852049852198869</v>
      </c>
      <c r="K7" s="3"/>
      <c r="L7" s="3">
        <v>2.1036331299071773</v>
      </c>
      <c r="M7" s="3">
        <v>-7.8613814893224582E-3</v>
      </c>
      <c r="N7" s="3"/>
      <c r="O7" s="3">
        <v>-0.85041613308507547</v>
      </c>
      <c r="P7" s="3">
        <v>0.10150835213257191</v>
      </c>
      <c r="Q7" s="3"/>
      <c r="R7" s="3"/>
      <c r="S7" s="3"/>
      <c r="T7" s="3"/>
      <c r="U7" s="3"/>
    </row>
    <row r="8" spans="1:39" x14ac:dyDescent="0.35">
      <c r="A8" s="3">
        <v>2.3913530179313485</v>
      </c>
      <c r="B8" s="3"/>
      <c r="C8" s="3">
        <v>-1.7701058432276742</v>
      </c>
      <c r="D8" s="3">
        <v>1.00414355512633E-2</v>
      </c>
      <c r="E8" s="3"/>
      <c r="F8" s="3">
        <v>1.3781588016507931</v>
      </c>
      <c r="G8" s="3">
        <v>4.5442523178507166E-5</v>
      </c>
      <c r="H8" s="3"/>
      <c r="I8" s="3">
        <v>-0.60158207255706597</v>
      </c>
      <c r="J8" s="3">
        <v>-0.1282705081045919</v>
      </c>
      <c r="K8" s="3"/>
      <c r="L8" s="3">
        <v>2.0925905927531341</v>
      </c>
      <c r="M8" s="3">
        <v>8.0575023965788889E-3</v>
      </c>
      <c r="N8" s="3"/>
      <c r="O8" s="3">
        <v>-0.95192448521764739</v>
      </c>
      <c r="P8" s="3">
        <v>0.10916474294961957</v>
      </c>
      <c r="Q8" s="3"/>
      <c r="R8" s="3"/>
      <c r="S8" s="3"/>
      <c r="T8" s="3"/>
      <c r="U8" s="3"/>
      <c r="W8" s="3"/>
    </row>
    <row r="9" spans="1:39" x14ac:dyDescent="0.35">
      <c r="A9" s="3">
        <v>2.3653256078379741</v>
      </c>
      <c r="B9" s="3"/>
      <c r="C9" s="3">
        <v>-1.794896585929731</v>
      </c>
      <c r="D9" s="3">
        <v>2.6475157107256481E-2</v>
      </c>
      <c r="E9" s="3"/>
      <c r="F9" s="3">
        <v>1.3898227909947181</v>
      </c>
      <c r="G9" s="3">
        <v>2.5041885017085264E-4</v>
      </c>
      <c r="H9" s="3"/>
      <c r="I9" s="3">
        <v>-0.46922587331212512</v>
      </c>
      <c r="J9" s="3">
        <v>-0.12177192864115294</v>
      </c>
      <c r="K9" s="3"/>
      <c r="L9" s="3">
        <v>2.0623500821414744</v>
      </c>
      <c r="M9" s="3">
        <v>2.346347748362429E-2</v>
      </c>
      <c r="N9" s="3"/>
      <c r="O9" s="3">
        <v>-1.061089228167267</v>
      </c>
      <c r="P9" s="3">
        <v>0.119002326607696</v>
      </c>
      <c r="Q9" s="3"/>
      <c r="R9" s="3"/>
      <c r="S9" s="3"/>
      <c r="T9" s="3"/>
      <c r="U9" s="3"/>
      <c r="W9" s="3"/>
    </row>
    <row r="10" spans="1:39" x14ac:dyDescent="0.35">
      <c r="A10" s="3">
        <v>2.3364499885673897</v>
      </c>
      <c r="B10" s="3"/>
      <c r="C10" s="3">
        <v>-1.8385449334104047</v>
      </c>
      <c r="D10" s="3">
        <v>4.3593069362793363E-2</v>
      </c>
      <c r="E10" s="3"/>
      <c r="F10" s="3">
        <v>1.406123607212538</v>
      </c>
      <c r="G10" s="3">
        <v>5.9569059584418937E-4</v>
      </c>
      <c r="H10" s="3"/>
      <c r="I10" s="3">
        <v>-0.3426343923936408</v>
      </c>
      <c r="J10" s="3">
        <v>-0.1186266829558133</v>
      </c>
      <c r="K10" s="3"/>
      <c r="L10" s="3">
        <v>2.0122165202893116</v>
      </c>
      <c r="M10" s="3">
        <v>3.8843832034718265E-2</v>
      </c>
      <c r="N10" s="3"/>
      <c r="O10" s="3">
        <v>-1.1800915547749631</v>
      </c>
      <c r="P10" s="3">
        <v>0.13105558899197939</v>
      </c>
      <c r="Q10" s="3"/>
      <c r="R10" s="3"/>
      <c r="S10" s="3"/>
      <c r="T10" s="3"/>
      <c r="W10" s="3"/>
    </row>
    <row r="11" spans="1:39" x14ac:dyDescent="0.35">
      <c r="A11" s="3">
        <v>2.3019484718136063</v>
      </c>
      <c r="B11" s="3"/>
      <c r="C11" s="3">
        <v>-1.9024415907203205</v>
      </c>
      <c r="D11" s="3">
        <v>6.2263156366811762E-2</v>
      </c>
      <c r="E11" s="3"/>
      <c r="F11" s="3">
        <v>1.4257922367552107</v>
      </c>
      <c r="G11" s="3">
        <v>1.0532834802816082E-3</v>
      </c>
      <c r="H11" s="3"/>
      <c r="I11" s="3">
        <v>-0.21797859932274033</v>
      </c>
      <c r="J11" s="3">
        <v>-0.11879140858070833</v>
      </c>
      <c r="K11" s="3"/>
      <c r="L11" s="3">
        <v>1.9407279079160249</v>
      </c>
      <c r="M11" s="3">
        <v>5.4246263332029185E-2</v>
      </c>
      <c r="N11" s="3"/>
      <c r="O11" s="3">
        <v>-1.3111471437669424</v>
      </c>
      <c r="P11" s="3">
        <v>0.14510712622949151</v>
      </c>
      <c r="Q11" s="3"/>
      <c r="R11" s="3"/>
      <c r="S11" s="3"/>
      <c r="T11" s="3"/>
      <c r="W11" s="3"/>
    </row>
    <row r="12" spans="1:39" x14ac:dyDescent="0.35">
      <c r="A12" s="3">
        <v>2.2586844498159624</v>
      </c>
      <c r="B12" s="3"/>
      <c r="C12" s="3">
        <v>-1.9887434248047307</v>
      </c>
      <c r="D12" s="3">
        <v>8.3068690379313248E-2</v>
      </c>
      <c r="E12" s="3"/>
      <c r="F12" s="3">
        <v>1.4467704503958132</v>
      </c>
      <c r="G12" s="3">
        <v>1.5397762990049246E-3</v>
      </c>
      <c r="H12" s="3"/>
      <c r="I12" s="3">
        <v>-9.1234617943632301E-2</v>
      </c>
      <c r="J12" s="3">
        <v>-0.12253077580592592</v>
      </c>
      <c r="K12" s="3"/>
      <c r="L12" s="3">
        <v>1.8461686231740442</v>
      </c>
      <c r="M12" s="3">
        <v>6.8932347988348533E-2</v>
      </c>
      <c r="N12" s="3"/>
      <c r="O12" s="3">
        <v>-1.456254269996434</v>
      </c>
      <c r="P12" s="3">
        <v>0.16029619113334753</v>
      </c>
      <c r="Q12" s="3"/>
      <c r="R12" s="3"/>
      <c r="S12" s="3"/>
      <c r="T12" s="3"/>
      <c r="W12" s="3"/>
    </row>
    <row r="13" spans="1:39" x14ac:dyDescent="0.35">
      <c r="A13" s="3">
        <v>2.2033796044579312</v>
      </c>
      <c r="B13" s="3"/>
      <c r="C13" s="3">
        <v>-2.0997386378570329</v>
      </c>
      <c r="D13" s="3">
        <v>0.10602561320884726</v>
      </c>
      <c r="E13" s="3"/>
      <c r="F13" s="3">
        <v>1.4661934148641238</v>
      </c>
      <c r="G13" s="3">
        <v>1.8728206523923596E-3</v>
      </c>
      <c r="H13" s="3"/>
      <c r="I13" s="3">
        <v>4.2165495842941464E-2</v>
      </c>
      <c r="J13" s="3">
        <v>-0.13025419711987624</v>
      </c>
      <c r="K13" s="3"/>
      <c r="L13" s="3">
        <v>1.7276075553773438</v>
      </c>
      <c r="M13" s="3">
        <v>8.0936635464928769E-2</v>
      </c>
      <c r="N13" s="3"/>
      <c r="O13" s="3">
        <v>-1.6165504611297816</v>
      </c>
      <c r="P13" s="3">
        <v>0.17463685214200589</v>
      </c>
      <c r="Q13" s="3"/>
      <c r="R13" s="3"/>
      <c r="S13" s="3"/>
      <c r="T13" s="3"/>
      <c r="W13" s="3"/>
    </row>
    <row r="14" spans="1:39" x14ac:dyDescent="0.35">
      <c r="A14" s="3">
        <v>2.1335551528604819</v>
      </c>
      <c r="B14" s="3"/>
      <c r="C14" s="3">
        <v>-2.2366562608342848</v>
      </c>
      <c r="D14" s="3">
        <v>0.13022983062777091</v>
      </c>
      <c r="E14" s="3"/>
      <c r="F14" s="3">
        <v>1.481171999713838</v>
      </c>
      <c r="G14" s="3">
        <v>1.8238627915638794E-3</v>
      </c>
      <c r="H14" s="3"/>
      <c r="I14" s="3">
        <v>0.18734543540255205</v>
      </c>
      <c r="J14" s="3">
        <v>-0.14208122893276812</v>
      </c>
      <c r="K14" s="3"/>
      <c r="L14" s="3">
        <v>1.5865718418330945</v>
      </c>
      <c r="M14" s="3">
        <v>8.6946285954170976E-2</v>
      </c>
      <c r="N14" s="3"/>
      <c r="O14" s="3">
        <v>-1.7911873132717875</v>
      </c>
      <c r="P14" s="3">
        <v>0.18486104352467572</v>
      </c>
      <c r="Q14" s="3"/>
      <c r="R14" s="3"/>
      <c r="S14" s="3"/>
      <c r="T14" s="3"/>
    </row>
    <row r="15" spans="1:39" x14ac:dyDescent="0.35">
      <c r="A15" s="3">
        <v>2.0491143425029303</v>
      </c>
      <c r="B15" s="3"/>
      <c r="C15" s="3">
        <v>-2.3981361554587215</v>
      </c>
      <c r="D15" s="3">
        <v>0.15384403043990247</v>
      </c>
      <c r="E15" s="3"/>
      <c r="F15" s="3">
        <v>1.4908381422541601</v>
      </c>
      <c r="G15" s="3">
        <v>1.4195114980156687E-3</v>
      </c>
      <c r="H15" s="3"/>
      <c r="I15" s="3">
        <v>0.3492054459012649</v>
      </c>
      <c r="J15" s="3">
        <v>-0.15715961036361906</v>
      </c>
      <c r="K15" s="3"/>
      <c r="L15" s="3">
        <v>1.428723949501181</v>
      </c>
      <c r="M15" s="3">
        <v>8.329351688093084E-2</v>
      </c>
      <c r="N15" s="3"/>
      <c r="O15" s="3">
        <v>-1.9760483567964633</v>
      </c>
      <c r="P15" s="3">
        <v>0.18735121568386762</v>
      </c>
      <c r="Q15" s="3"/>
      <c r="R15" s="3"/>
      <c r="S15" s="3"/>
      <c r="T15" s="3"/>
    </row>
    <row r="16" spans="1:39" x14ac:dyDescent="0.35">
      <c r="A16" s="3">
        <v>1.9533339720682834</v>
      </c>
      <c r="B16" s="3"/>
      <c r="C16" s="3">
        <v>-2.5794893023950971</v>
      </c>
      <c r="D16" s="3">
        <v>0.1747313815797778</v>
      </c>
      <c r="E16" s="3"/>
      <c r="F16" s="3">
        <v>1.4985058167223264</v>
      </c>
      <c r="G16" s="3">
        <v>1.2863198795685371E-3</v>
      </c>
      <c r="H16" s="3"/>
      <c r="I16" s="3">
        <v>0.53072065835437376</v>
      </c>
      <c r="J16" s="3">
        <v>-0.17330610256391682</v>
      </c>
      <c r="K16" s="3"/>
      <c r="L16" s="3">
        <v>1.2639069359276789</v>
      </c>
      <c r="M16" s="3">
        <v>6.8233969535872935E-2</v>
      </c>
      <c r="N16" s="3"/>
      <c r="O16" s="3">
        <v>-2.1633995724803308</v>
      </c>
      <c r="P16" s="3">
        <v>0.18022120471630565</v>
      </c>
      <c r="Q16" s="3"/>
      <c r="R16" s="3"/>
      <c r="S16" s="3"/>
      <c r="T16" s="3"/>
      <c r="U16" s="3"/>
    </row>
    <row r="17" spans="1:21" x14ac:dyDescent="0.35">
      <c r="A17" s="3">
        <v>1.8517157565873212</v>
      </c>
      <c r="B17" s="3"/>
      <c r="C17" s="3">
        <v>-2.7738910681391999</v>
      </c>
      <c r="D17" s="3">
        <v>0.19122556411949107</v>
      </c>
      <c r="E17" s="3"/>
      <c r="F17" s="3">
        <v>1.5110872061143346</v>
      </c>
      <c r="G17" s="3">
        <v>2.2710922103629239E-3</v>
      </c>
      <c r="H17" s="3"/>
      <c r="I17" s="3">
        <v>0.73132538943333636</v>
      </c>
      <c r="J17" s="3">
        <v>-0.18759381089315605</v>
      </c>
      <c r="K17" s="3"/>
      <c r="L17" s="3">
        <v>1.1035270589070272</v>
      </c>
      <c r="M17" s="3">
        <v>4.3860017605433871E-2</v>
      </c>
      <c r="N17" s="3"/>
      <c r="O17" s="3">
        <v>-2.3436207771966364</v>
      </c>
      <c r="P17" s="3">
        <v>0.16483884248985403</v>
      </c>
      <c r="Q17" s="3"/>
      <c r="R17" s="3"/>
      <c r="S17" s="3"/>
      <c r="T17" s="3"/>
      <c r="U17" s="3"/>
    </row>
    <row r="18" spans="1:21" x14ac:dyDescent="0.35">
      <c r="A18" s="3">
        <v>1.7494178374529965</v>
      </c>
      <c r="B18" s="3"/>
      <c r="C18" s="3">
        <v>-2.9746772114199498</v>
      </c>
      <c r="D18" s="3">
        <v>0.20238591142085205</v>
      </c>
      <c r="E18" s="3"/>
      <c r="F18" s="3">
        <v>1.5352552813883615</v>
      </c>
      <c r="G18" s="3">
        <v>4.4101210309794581E-3</v>
      </c>
      <c r="H18" s="3"/>
      <c r="I18" s="3">
        <v>0.94683531996398362</v>
      </c>
      <c r="J18" s="3">
        <v>-0.19748569497470964</v>
      </c>
      <c r="K18" s="3"/>
      <c r="L18" s="3">
        <v>0.95685771943094655</v>
      </c>
      <c r="M18" s="3">
        <v>1.5509839272993958E-2</v>
      </c>
      <c r="N18" s="3"/>
      <c r="O18" s="3">
        <v>-2.5084596196864903</v>
      </c>
      <c r="P18" s="3">
        <v>0.14507641110665881</v>
      </c>
      <c r="Q18" s="3"/>
      <c r="R18" s="3"/>
      <c r="S18" s="3"/>
      <c r="T18" s="3"/>
      <c r="U18" s="3"/>
    </row>
    <row r="19" spans="1:21" x14ac:dyDescent="0.35">
      <c r="A19" s="3">
        <v>1.64975765183655</v>
      </c>
      <c r="B19" s="3"/>
      <c r="C19" s="3">
        <v>-3.1767162997432656</v>
      </c>
      <c r="D19" s="3">
        <v>0.20797051219540871</v>
      </c>
      <c r="E19" s="3"/>
      <c r="F19" s="3">
        <v>1.5740094558425946</v>
      </c>
      <c r="G19" s="3">
        <v>6.7016804659114082E-3</v>
      </c>
      <c r="H19" s="3"/>
      <c r="I19" s="3">
        <v>1.1708895617198383</v>
      </c>
      <c r="J19" s="3">
        <v>-0.20165900494054728</v>
      </c>
      <c r="K19" s="3"/>
      <c r="L19" s="3">
        <v>0.82893721453511682</v>
      </c>
      <c r="M19" s="3">
        <v>-1.1062417377498107E-2</v>
      </c>
      <c r="N19" s="3"/>
      <c r="O19" s="3">
        <v>-2.6535360307931493</v>
      </c>
      <c r="P19" s="3">
        <v>0.12504743018429026</v>
      </c>
      <c r="Q19" s="3"/>
      <c r="R19" s="3"/>
      <c r="S19" s="3"/>
      <c r="T19" s="3"/>
      <c r="U19" s="3"/>
    </row>
    <row r="20" spans="1:21" x14ac:dyDescent="0.35">
      <c r="A20" s="3">
        <v>1.554491761233727</v>
      </c>
      <c r="B20" s="3"/>
      <c r="C20" s="3">
        <v>-3.3764102676589802</v>
      </c>
      <c r="D20" s="3">
        <v>0.20842161097980566</v>
      </c>
      <c r="E20" s="3"/>
      <c r="F20" s="3">
        <v>1.6263647704773121</v>
      </c>
      <c r="G20" s="3">
        <v>8.0025095651863887E-3</v>
      </c>
      <c r="H20" s="3"/>
      <c r="I20" s="3">
        <v>1.3967189771028121</v>
      </c>
      <c r="J20" s="3">
        <v>-0.2002125726085123</v>
      </c>
      <c r="K20" s="3"/>
      <c r="L20" s="3">
        <v>0.72083073973811607</v>
      </c>
      <c r="M20" s="3">
        <v>-3.2204371000144755E-2</v>
      </c>
      <c r="N20" s="3"/>
      <c r="O20" s="3">
        <v>-2.7785834609774396</v>
      </c>
      <c r="P20" s="3">
        <v>0.1074247771574693</v>
      </c>
      <c r="Q20" s="3"/>
      <c r="R20" s="3"/>
      <c r="S20" s="3"/>
      <c r="T20" s="3"/>
      <c r="U20" s="3"/>
    </row>
    <row r="21" spans="1:21" x14ac:dyDescent="0.35">
      <c r="A21" s="3">
        <v>1.4645970839456663</v>
      </c>
      <c r="B21" s="3"/>
      <c r="C21" s="3">
        <v>-3.5712496462256937</v>
      </c>
      <c r="D21" s="3">
        <v>0.2047256736814963</v>
      </c>
      <c r="E21" s="3"/>
      <c r="F21" s="3">
        <v>1.6891055896034424</v>
      </c>
      <c r="G21" s="3">
        <v>7.801803217965475E-3</v>
      </c>
      <c r="H21" s="3"/>
      <c r="I21" s="3">
        <v>1.6184781629685061</v>
      </c>
      <c r="J21" s="3">
        <v>-0.19430173095682862</v>
      </c>
      <c r="K21" s="3"/>
      <c r="L21" s="3">
        <v>0.63110088666218256</v>
      </c>
      <c r="M21" s="3">
        <v>-4.6891813476718447E-2</v>
      </c>
      <c r="N21" s="3"/>
      <c r="O21" s="3">
        <v>-2.886008238134909</v>
      </c>
      <c r="P21" s="3">
        <v>9.3201196781970919E-2</v>
      </c>
      <c r="Q21" s="3"/>
      <c r="R21" s="3"/>
      <c r="S21" s="3"/>
      <c r="T21" s="3"/>
      <c r="U21" s="3"/>
    </row>
    <row r="22" spans="1:21" x14ac:dyDescent="0.35">
      <c r="A22" s="3">
        <v>1.3806635866566261</v>
      </c>
      <c r="B22" s="3"/>
      <c r="C22" s="3">
        <v>-3.7595107645581023</v>
      </c>
      <c r="D22" s="3">
        <v>0.19810990314503268</v>
      </c>
      <c r="E22" s="3"/>
      <c r="F22" s="3">
        <v>1.7585553418900031</v>
      </c>
      <c r="G22" s="3">
        <v>6.2484989314865735E-3</v>
      </c>
      <c r="H22" s="3"/>
      <c r="I22" s="3">
        <v>1.8319546169475138</v>
      </c>
      <c r="J22" s="3">
        <v>-0.18548325210106265</v>
      </c>
      <c r="K22" s="3"/>
      <c r="L22" s="3">
        <v>0.5572093280775311</v>
      </c>
      <c r="M22" s="3">
        <v>-5.5827265540578347E-2</v>
      </c>
      <c r="N22" s="3"/>
      <c r="O22" s="3">
        <v>-2.9792094349168798</v>
      </c>
      <c r="P22" s="3">
        <v>8.2276955982858058E-2</v>
      </c>
      <c r="Q22" s="3"/>
      <c r="R22" s="3"/>
      <c r="S22" s="3"/>
      <c r="T22" s="3"/>
      <c r="U22" s="3"/>
    </row>
    <row r="23" spans="1:21" x14ac:dyDescent="0.35">
      <c r="A23" s="3">
        <v>1.3029671860337881</v>
      </c>
      <c r="B23" s="3"/>
      <c r="C23" s="3">
        <v>-3.9401044186196801</v>
      </c>
      <c r="D23" s="3">
        <v>0.18973608066828196</v>
      </c>
      <c r="E23" s="3"/>
      <c r="F23" s="3">
        <v>1.8315341618187819</v>
      </c>
      <c r="G23" s="3">
        <v>3.8035518075867636E-3</v>
      </c>
      <c r="H23" s="3"/>
      <c r="I23" s="3">
        <v>2.034671237898634</v>
      </c>
      <c r="J23" s="3">
        <v>-0.1751686788912033</v>
      </c>
      <c r="K23" s="3"/>
      <c r="L23" s="3">
        <v>0.49638602312389279</v>
      </c>
      <c r="M23" s="3">
        <v>-6.0355234117679624E-2</v>
      </c>
      <c r="N23" s="3"/>
      <c r="O23" s="3">
        <v>-3.0614863908997378</v>
      </c>
      <c r="P23" s="3">
        <v>7.4093219922637246E-2</v>
      </c>
      <c r="Q23" s="3"/>
      <c r="R23" s="3"/>
      <c r="S23" s="3"/>
      <c r="T23" s="3"/>
    </row>
    <row r="24" spans="1:21" x14ac:dyDescent="0.35">
      <c r="A24" s="3">
        <v>1.2314914553883853</v>
      </c>
      <c r="B24" s="3"/>
      <c r="C24" s="3">
        <v>-4.1124644400414825</v>
      </c>
      <c r="D24" s="3">
        <v>0.18052195677412922</v>
      </c>
      <c r="E24" s="3"/>
      <c r="F24" s="3">
        <v>1.9056420641200928</v>
      </c>
      <c r="G24" s="3">
        <v>9.422055263667295E-4</v>
      </c>
      <c r="H24" s="3"/>
      <c r="I24" s="3">
        <v>2.2255696360422266</v>
      </c>
      <c r="J24" s="3">
        <v>-0.16437884953038409</v>
      </c>
      <c r="K24" s="3"/>
      <c r="L24" s="3">
        <v>0.4460595527807274</v>
      </c>
      <c r="M24" s="3">
        <v>-6.1797921404924627E-2</v>
      </c>
      <c r="N24" s="3"/>
      <c r="O24" s="3">
        <v>-3.1355796108223752</v>
      </c>
      <c r="P24" s="3">
        <v>6.8013727700233784E-2</v>
      </c>
      <c r="Q24" s="3"/>
      <c r="R24" s="3"/>
      <c r="S24" s="3"/>
      <c r="T24" s="3"/>
    </row>
    <row r="25" spans="1:21" x14ac:dyDescent="0.35">
      <c r="A25" s="3">
        <v>1.1659905564495734</v>
      </c>
      <c r="B25" s="3"/>
      <c r="C25" s="3">
        <v>-4.2764303206804177</v>
      </c>
      <c r="D25" s="3">
        <v>0.17110104232366521</v>
      </c>
      <c r="E25" s="3"/>
      <c r="F25" s="3">
        <v>1.979209509874289</v>
      </c>
      <c r="G25" s="3">
        <v>-1.9779116743814384E-3</v>
      </c>
      <c r="H25" s="3"/>
      <c r="I25" s="3">
        <v>2.4045465353439113</v>
      </c>
      <c r="J25" s="3">
        <v>-0.15374036472166408</v>
      </c>
      <c r="K25" s="3"/>
      <c r="L25" s="3">
        <v>0.40403580727999511</v>
      </c>
      <c r="M25" s="3">
        <v>-6.1205987810677182E-2</v>
      </c>
      <c r="N25" s="3"/>
      <c r="O25" s="3">
        <v>-3.2035933385226092</v>
      </c>
      <c r="P25" s="3">
        <v>6.3483930485596321E-2</v>
      </c>
      <c r="Q25" s="3"/>
      <c r="R25" s="3"/>
      <c r="S25" s="3"/>
      <c r="T25" s="3"/>
    </row>
    <row r="26" spans="1:21" x14ac:dyDescent="0.35">
      <c r="A26" s="3">
        <v>1.106073808180684</v>
      </c>
      <c r="B26" s="3"/>
      <c r="C26" s="3">
        <v>-4.4321282931241699</v>
      </c>
      <c r="D26" s="3">
        <v>0.16186467664566626</v>
      </c>
      <c r="E26" s="3"/>
      <c r="F26" s="3">
        <v>2.0511437454163599</v>
      </c>
      <c r="G26" s="3">
        <v>-4.7343509044608656E-3</v>
      </c>
      <c r="H26" s="3"/>
      <c r="I26" s="3">
        <v>2.5720412418593179</v>
      </c>
      <c r="J26" s="3">
        <v>-0.14358598652338234</v>
      </c>
      <c r="K26" s="3"/>
      <c r="L26" s="3">
        <v>0.36854225903286753</v>
      </c>
      <c r="M26" s="3">
        <v>-5.9335551115751325E-2</v>
      </c>
      <c r="N26" s="3"/>
      <c r="O26" s="3">
        <v>-3.2670772690082055</v>
      </c>
      <c r="P26" s="3">
        <v>6.0069512009987197E-2</v>
      </c>
      <c r="Q26" s="3"/>
      <c r="R26" s="3"/>
      <c r="S26" s="3"/>
      <c r="T26" s="3"/>
    </row>
    <row r="27" spans="1:21" x14ac:dyDescent="0.35">
      <c r="A27" s="3"/>
      <c r="B27" s="3"/>
      <c r="C27" s="3"/>
      <c r="D27" s="3"/>
      <c r="E27" s="3"/>
      <c r="F27" s="3"/>
      <c r="G27" s="3"/>
      <c r="H27" s="3"/>
      <c r="I27" s="3"/>
      <c r="J27" s="3"/>
      <c r="K27" s="3"/>
      <c r="L27" s="3"/>
      <c r="M27" s="3"/>
      <c r="N27" s="3"/>
      <c r="O27" s="3"/>
      <c r="P27" s="3"/>
      <c r="Q27" s="3"/>
      <c r="R27" s="3"/>
      <c r="S27" s="3"/>
      <c r="T27" s="3"/>
    </row>
    <row r="28" spans="1:21" x14ac:dyDescent="0.35">
      <c r="A28" s="3"/>
      <c r="B28" s="3"/>
      <c r="C28" s="3"/>
      <c r="D28" s="3"/>
      <c r="E28" s="3"/>
      <c r="F28" s="3"/>
      <c r="G28" s="3"/>
      <c r="H28" s="3"/>
      <c r="I28" s="3"/>
      <c r="J28" s="3"/>
      <c r="K28" s="3"/>
      <c r="L28" s="3"/>
      <c r="M28" s="3"/>
      <c r="N28" s="3"/>
      <c r="O28" s="3"/>
      <c r="P28" s="3"/>
      <c r="Q28" s="3"/>
      <c r="R28" s="3"/>
      <c r="S28" s="3"/>
      <c r="T28" s="3"/>
    </row>
    <row r="29" spans="1:21" x14ac:dyDescent="0.35">
      <c r="A29" s="3"/>
      <c r="B29" s="3"/>
      <c r="C29" s="3"/>
      <c r="D29" s="3"/>
      <c r="E29" s="3"/>
      <c r="F29" s="3"/>
      <c r="G29" s="3"/>
      <c r="H29" s="3"/>
      <c r="I29" s="3"/>
      <c r="J29" s="3"/>
      <c r="K29" s="3"/>
      <c r="L29" s="3"/>
      <c r="M29" s="3"/>
      <c r="N29" s="3"/>
      <c r="O29" s="3"/>
      <c r="P29" s="3"/>
      <c r="Q29" s="3"/>
      <c r="R29" s="3"/>
      <c r="S29" s="3"/>
      <c r="T29" s="3"/>
    </row>
    <row r="30" spans="1:21" x14ac:dyDescent="0.35">
      <c r="A30" s="3"/>
      <c r="B30" s="3"/>
      <c r="C30" s="3"/>
      <c r="D30" s="3"/>
      <c r="E30" s="3"/>
      <c r="F30" s="3"/>
      <c r="G30" s="3"/>
      <c r="H30" s="3"/>
      <c r="I30" s="3"/>
      <c r="J30" s="3"/>
      <c r="K30" s="3"/>
      <c r="L30" s="3"/>
      <c r="M30" s="3"/>
      <c r="N30" s="3"/>
      <c r="O30" s="3"/>
      <c r="P30" s="3"/>
      <c r="Q30" s="3"/>
      <c r="R30" s="3"/>
      <c r="S30" s="3"/>
      <c r="T30" s="3"/>
    </row>
    <row r="31" spans="1:21" x14ac:dyDescent="0.35">
      <c r="A31" s="3"/>
      <c r="B31" s="3"/>
      <c r="C31" s="3"/>
      <c r="D31" s="3"/>
      <c r="E31" s="3"/>
      <c r="F31" s="3"/>
      <c r="G31" s="3"/>
      <c r="H31" s="3"/>
      <c r="I31" s="3"/>
      <c r="J31" s="3"/>
      <c r="K31" s="3"/>
      <c r="L31" s="3"/>
      <c r="M31" s="3"/>
      <c r="N31" s="3"/>
      <c r="O31" s="3"/>
      <c r="P31" s="3"/>
      <c r="Q31" s="3"/>
      <c r="R31" s="3"/>
      <c r="S31" s="3"/>
      <c r="T31" s="3"/>
    </row>
    <row r="32" spans="1:21" x14ac:dyDescent="0.35">
      <c r="A32" s="3"/>
      <c r="B32" s="3"/>
      <c r="C32" s="3"/>
      <c r="D32" s="3"/>
      <c r="E32" s="3"/>
      <c r="F32" s="3"/>
      <c r="G32" s="3"/>
      <c r="H32" s="3"/>
      <c r="I32" s="3"/>
      <c r="J32" s="3"/>
      <c r="K32" s="3"/>
      <c r="L32" s="3"/>
      <c r="M32" s="3"/>
      <c r="N32" s="3"/>
      <c r="O32" s="3"/>
      <c r="P32" s="3"/>
      <c r="Q32" s="3"/>
      <c r="R32" s="3"/>
      <c r="S32" s="3"/>
      <c r="T32" s="3"/>
    </row>
    <row r="33" spans="1:20" x14ac:dyDescent="0.35">
      <c r="A33" s="3"/>
      <c r="B33" s="3"/>
      <c r="C33" s="3"/>
      <c r="D33" s="3"/>
      <c r="E33" s="3"/>
      <c r="F33" s="3"/>
      <c r="G33" s="3"/>
      <c r="H33" s="3"/>
      <c r="I33" s="3"/>
      <c r="J33" s="3"/>
      <c r="K33" s="3"/>
      <c r="L33" s="3"/>
      <c r="M33" s="3"/>
      <c r="N33" s="3"/>
      <c r="O33" s="3"/>
      <c r="P33" s="3"/>
      <c r="Q33" s="3"/>
      <c r="R33" s="3"/>
      <c r="S33" s="3"/>
      <c r="T33" s="3"/>
    </row>
    <row r="34" spans="1:20" x14ac:dyDescent="0.35">
      <c r="A34" s="3"/>
      <c r="B34" s="3"/>
      <c r="C34" s="3"/>
      <c r="D34" s="3"/>
      <c r="E34" s="3"/>
      <c r="F34" s="3"/>
      <c r="G34" s="3"/>
      <c r="H34" s="3"/>
      <c r="I34" s="3"/>
      <c r="J34" s="3"/>
      <c r="K34" s="3"/>
      <c r="L34" s="3"/>
      <c r="M34" s="3"/>
      <c r="N34" s="3"/>
      <c r="O34" s="3"/>
      <c r="P34" s="3"/>
      <c r="Q34" s="3"/>
      <c r="R34" s="3"/>
      <c r="S34" s="3"/>
      <c r="T34" s="3"/>
    </row>
    <row r="35" spans="1:20" x14ac:dyDescent="0.35">
      <c r="A35" s="3"/>
      <c r="B35" s="3"/>
      <c r="C35" s="3"/>
      <c r="D35" s="3"/>
      <c r="E35" s="3"/>
      <c r="F35" s="3"/>
      <c r="G35" s="3"/>
      <c r="H35" s="3"/>
      <c r="I35" s="3"/>
      <c r="J35" s="3"/>
      <c r="K35" s="3"/>
      <c r="L35" s="3"/>
      <c r="M35" s="3"/>
      <c r="N35" s="3"/>
      <c r="O35" s="3"/>
      <c r="P35" s="3"/>
      <c r="Q35" s="3"/>
      <c r="R35" s="3"/>
      <c r="S35" s="3"/>
      <c r="T35" s="3"/>
    </row>
    <row r="36" spans="1:20" x14ac:dyDescent="0.35">
      <c r="A36" s="3"/>
      <c r="B36" s="3"/>
      <c r="C36" s="3"/>
      <c r="D36" s="3"/>
      <c r="E36" s="3"/>
      <c r="F36" s="3"/>
      <c r="G36" s="3"/>
      <c r="H36" s="3"/>
      <c r="I36" s="3"/>
      <c r="J36" s="3"/>
      <c r="K36" s="3"/>
      <c r="L36" s="3"/>
      <c r="M36" s="3"/>
      <c r="N36" s="3"/>
      <c r="O36" s="3"/>
      <c r="P36" s="3"/>
      <c r="Q36" s="3"/>
      <c r="R36" s="3"/>
      <c r="S36" s="3"/>
      <c r="T36" s="3"/>
    </row>
    <row r="37" spans="1:20" x14ac:dyDescent="0.35">
      <c r="A37" s="3"/>
      <c r="B37" s="3"/>
      <c r="C37" s="3"/>
      <c r="D37" s="3"/>
      <c r="E37" s="3"/>
      <c r="F37" s="3"/>
      <c r="G37" s="3"/>
      <c r="H37" s="3"/>
      <c r="I37" s="3"/>
      <c r="J37" s="3"/>
      <c r="K37" s="3"/>
      <c r="L37" s="3"/>
      <c r="M37" s="3"/>
      <c r="N37" s="3"/>
      <c r="O37" s="3"/>
      <c r="P37" s="3"/>
      <c r="Q37" s="3"/>
      <c r="R37" s="3"/>
      <c r="S37" s="3"/>
      <c r="T37" s="3"/>
    </row>
    <row r="38" spans="1:20" x14ac:dyDescent="0.35">
      <c r="A38" s="3"/>
      <c r="B38" s="3"/>
      <c r="C38" s="3"/>
      <c r="D38" s="3"/>
      <c r="E38" s="3"/>
      <c r="F38" s="3"/>
      <c r="G38" s="3"/>
      <c r="H38" s="3"/>
      <c r="I38" s="3"/>
      <c r="J38" s="3"/>
      <c r="K38" s="3"/>
      <c r="L38" s="3"/>
      <c r="M38" s="3"/>
      <c r="N38" s="3"/>
      <c r="O38" s="3"/>
      <c r="P38" s="3"/>
      <c r="Q38" s="3"/>
      <c r="R38" s="3"/>
      <c r="S38" s="3"/>
      <c r="T38" s="3"/>
    </row>
    <row r="39" spans="1:20" x14ac:dyDescent="0.35">
      <c r="A39" s="3"/>
      <c r="B39" s="3"/>
      <c r="C39" s="3"/>
      <c r="D39" s="3"/>
      <c r="E39" s="3"/>
      <c r="F39" s="3"/>
      <c r="G39" s="3"/>
      <c r="H39" s="3"/>
      <c r="I39" s="3"/>
      <c r="J39" s="3"/>
      <c r="K39" s="3"/>
      <c r="L39" s="3"/>
      <c r="M39" s="3"/>
      <c r="N39" s="3"/>
      <c r="O39" s="3"/>
      <c r="P39" s="3"/>
      <c r="Q39" s="3"/>
      <c r="R39" s="3"/>
      <c r="S39" s="3"/>
      <c r="T39" s="3"/>
    </row>
    <row r="40" spans="1:20" x14ac:dyDescent="0.35">
      <c r="A40" s="3"/>
      <c r="B40" s="3"/>
      <c r="C40" s="3"/>
      <c r="D40" s="3"/>
      <c r="E40" s="3"/>
      <c r="F40" s="3"/>
      <c r="G40" s="3"/>
      <c r="H40" s="3"/>
      <c r="I40" s="3"/>
      <c r="J40" s="3"/>
      <c r="K40" s="3"/>
      <c r="L40" s="3"/>
      <c r="M40" s="3"/>
      <c r="N40" s="3"/>
      <c r="O40" s="3"/>
      <c r="P40" s="3"/>
      <c r="Q40" s="3"/>
      <c r="R40" s="3"/>
      <c r="S40" s="3"/>
      <c r="T40" s="3"/>
    </row>
    <row r="41" spans="1:20" x14ac:dyDescent="0.35">
      <c r="A41" s="3"/>
      <c r="B41" s="3"/>
      <c r="C41" s="3"/>
      <c r="D41" s="3"/>
      <c r="E41" s="3"/>
      <c r="F41" s="3"/>
      <c r="G41" s="3"/>
      <c r="H41" s="3"/>
      <c r="I41" s="3"/>
      <c r="J41" s="3"/>
      <c r="K41" s="3"/>
      <c r="L41" s="3"/>
      <c r="M41" s="3"/>
      <c r="N41" s="3"/>
      <c r="O41" s="3"/>
      <c r="P41" s="3"/>
      <c r="Q41" s="3"/>
      <c r="R41" s="3"/>
      <c r="S41" s="3"/>
      <c r="T41" s="3"/>
    </row>
    <row r="42" spans="1:20" x14ac:dyDescent="0.35">
      <c r="A42" s="3"/>
      <c r="B42" s="3"/>
      <c r="C42" s="3"/>
      <c r="D42" s="3"/>
      <c r="E42" s="3"/>
      <c r="F42" s="3"/>
      <c r="G42" s="3"/>
      <c r="H42" s="3"/>
      <c r="I42" s="3"/>
      <c r="J42" s="3"/>
      <c r="K42" s="3"/>
      <c r="L42" s="3"/>
      <c r="M42" s="3"/>
      <c r="N42" s="3"/>
      <c r="O42" s="3"/>
      <c r="P42" s="3"/>
      <c r="Q42" s="3"/>
      <c r="R42" s="3"/>
      <c r="S42" s="3"/>
      <c r="T42" s="3"/>
    </row>
    <row r="43" spans="1:20" x14ac:dyDescent="0.35">
      <c r="A43" s="3"/>
      <c r="B43" s="3"/>
      <c r="C43" s="3"/>
      <c r="D43" s="3"/>
      <c r="E43" s="3"/>
      <c r="F43" s="3"/>
      <c r="G43" s="3"/>
      <c r="H43" s="3"/>
      <c r="I43" s="3"/>
      <c r="J43" s="3"/>
      <c r="K43" s="3"/>
      <c r="L43" s="3"/>
      <c r="M43" s="3"/>
      <c r="N43" s="3"/>
      <c r="O43" s="3"/>
      <c r="P43" s="3"/>
      <c r="Q43" s="3"/>
      <c r="R43" s="3"/>
      <c r="S43" s="3"/>
      <c r="T43" s="3"/>
    </row>
    <row r="44" spans="1:20" x14ac:dyDescent="0.35">
      <c r="A44" s="3"/>
      <c r="B44" s="3"/>
      <c r="C44" s="3"/>
      <c r="D44" s="3"/>
      <c r="E44" s="3"/>
      <c r="F44" s="3"/>
      <c r="G44" s="3"/>
      <c r="H44" s="3"/>
      <c r="I44" s="3"/>
      <c r="J44" s="3"/>
      <c r="K44" s="3"/>
      <c r="L44" s="3"/>
      <c r="M44" s="3"/>
      <c r="N44" s="3"/>
      <c r="O44" s="3"/>
      <c r="P44" s="3"/>
      <c r="Q44" s="3"/>
      <c r="R44" s="3"/>
      <c r="S44" s="3"/>
      <c r="T44" s="3"/>
    </row>
    <row r="45" spans="1:20" x14ac:dyDescent="0.35">
      <c r="A45" s="3"/>
      <c r="B45" s="3"/>
      <c r="C45" s="3"/>
      <c r="D45" s="3"/>
      <c r="E45" s="3"/>
      <c r="F45" s="3"/>
      <c r="G45" s="3"/>
      <c r="H45" s="3"/>
      <c r="I45" s="3"/>
      <c r="J45" s="3"/>
      <c r="K45" s="3"/>
      <c r="L45" s="3"/>
      <c r="M45" s="3"/>
      <c r="N45" s="3"/>
      <c r="O45" s="3"/>
      <c r="P45" s="3"/>
      <c r="Q45" s="3"/>
      <c r="R45" s="3"/>
      <c r="S45" s="3"/>
      <c r="T45" s="3"/>
    </row>
    <row r="46" spans="1:20" x14ac:dyDescent="0.35">
      <c r="A46" s="3"/>
      <c r="B46" s="3"/>
      <c r="C46" s="3"/>
      <c r="D46" s="3"/>
      <c r="E46" s="3"/>
      <c r="F46" s="3"/>
      <c r="G46" s="3"/>
      <c r="H46" s="3"/>
      <c r="I46" s="3"/>
      <c r="J46" s="3"/>
      <c r="K46" s="3"/>
      <c r="L46" s="3"/>
      <c r="M46" s="3"/>
      <c r="N46" s="3"/>
      <c r="O46" s="3"/>
      <c r="P46" s="3"/>
      <c r="Q46" s="3"/>
      <c r="R46" s="3"/>
      <c r="S46" s="3"/>
      <c r="T46" s="3"/>
    </row>
    <row r="47" spans="1:20" x14ac:dyDescent="0.35">
      <c r="A47" s="3"/>
      <c r="B47" s="3"/>
      <c r="C47" s="3"/>
      <c r="D47" s="3"/>
      <c r="E47" s="3"/>
      <c r="F47" s="3"/>
      <c r="G47" s="3"/>
      <c r="H47" s="3"/>
      <c r="I47" s="3"/>
      <c r="J47" s="3"/>
      <c r="K47" s="3"/>
      <c r="L47" s="3"/>
      <c r="M47" s="3"/>
      <c r="N47" s="3"/>
      <c r="O47" s="3"/>
      <c r="P47" s="3"/>
      <c r="Q47" s="3"/>
      <c r="R47" s="3"/>
      <c r="S47" s="3"/>
      <c r="T47" s="3"/>
    </row>
    <row r="48" spans="1:20" x14ac:dyDescent="0.35">
      <c r="A48" s="3"/>
      <c r="B48" s="3"/>
      <c r="C48" s="3"/>
      <c r="D48" s="3"/>
      <c r="E48" s="3"/>
      <c r="F48" s="3"/>
      <c r="G48" s="3"/>
      <c r="H48" s="3"/>
      <c r="I48" s="3"/>
      <c r="J48" s="3"/>
      <c r="K48" s="3"/>
      <c r="L48" s="3"/>
      <c r="M48" s="3"/>
      <c r="N48" s="3"/>
      <c r="O48" s="3"/>
      <c r="P48" s="3"/>
      <c r="Q48" s="3"/>
      <c r="R48" s="3"/>
      <c r="S48" s="3"/>
      <c r="T48" s="3"/>
    </row>
    <row r="49" spans="1:20" x14ac:dyDescent="0.35">
      <c r="A49" s="3"/>
      <c r="B49" s="3"/>
      <c r="C49" s="3"/>
      <c r="D49" s="3"/>
      <c r="E49" s="3"/>
      <c r="F49" s="3"/>
      <c r="G49" s="3"/>
      <c r="H49" s="3"/>
      <c r="I49" s="3"/>
      <c r="J49" s="3"/>
      <c r="K49" s="3"/>
      <c r="L49" s="3"/>
      <c r="M49" s="3"/>
      <c r="N49" s="3"/>
      <c r="O49" s="3"/>
      <c r="P49" s="3"/>
      <c r="Q49" s="3"/>
      <c r="R49" s="3"/>
      <c r="S49" s="3"/>
      <c r="T49" s="3"/>
    </row>
    <row r="50" spans="1:20" x14ac:dyDescent="0.35">
      <c r="A50" s="3"/>
      <c r="B50" s="3"/>
      <c r="C50" s="3"/>
      <c r="D50" s="3"/>
      <c r="E50" s="3"/>
      <c r="F50" s="3"/>
      <c r="G50" s="3"/>
      <c r="H50" s="3"/>
      <c r="I50" s="3"/>
      <c r="J50" s="3"/>
      <c r="K50" s="3"/>
      <c r="L50" s="3"/>
      <c r="M50" s="3"/>
      <c r="N50" s="3"/>
      <c r="O50" s="3"/>
      <c r="P50" s="3"/>
      <c r="Q50" s="3"/>
      <c r="R50" s="3"/>
      <c r="S50" s="3"/>
      <c r="T50" s="3"/>
    </row>
    <row r="51" spans="1:20" x14ac:dyDescent="0.35">
      <c r="A51" s="3"/>
      <c r="B51" s="3"/>
      <c r="C51" s="3"/>
      <c r="D51" s="3"/>
      <c r="E51" s="3"/>
      <c r="F51" s="3"/>
      <c r="G51" s="3"/>
      <c r="H51" s="3"/>
      <c r="I51" s="3"/>
      <c r="J51" s="3"/>
      <c r="K51" s="3"/>
      <c r="L51" s="3"/>
      <c r="M51" s="3"/>
      <c r="N51" s="3"/>
      <c r="O51" s="3"/>
      <c r="P51" s="3"/>
      <c r="Q51" s="3"/>
      <c r="R51" s="3"/>
      <c r="S51" s="3"/>
      <c r="T51" s="3"/>
    </row>
    <row r="52" spans="1:20" x14ac:dyDescent="0.35">
      <c r="A52" s="3"/>
      <c r="B52" s="3"/>
      <c r="C52" s="3"/>
      <c r="D52" s="3"/>
      <c r="E52" s="3"/>
      <c r="F52" s="3"/>
      <c r="G52" s="3"/>
      <c r="H52" s="3"/>
      <c r="I52" s="3"/>
      <c r="J52" s="3"/>
      <c r="K52" s="3"/>
      <c r="L52" s="3"/>
      <c r="M52" s="3"/>
      <c r="N52" s="3"/>
      <c r="O52" s="3"/>
      <c r="P52" s="3"/>
      <c r="Q52" s="3"/>
      <c r="R52" s="3"/>
      <c r="S52" s="3"/>
      <c r="T52" s="3"/>
    </row>
    <row r="53" spans="1:20" x14ac:dyDescent="0.35">
      <c r="A53" s="3"/>
      <c r="B53" s="3"/>
      <c r="C53" s="3"/>
      <c r="D53" s="3"/>
      <c r="E53" s="3"/>
      <c r="F53" s="3"/>
      <c r="G53" s="3"/>
      <c r="H53" s="3"/>
      <c r="I53" s="3"/>
      <c r="J53" s="3"/>
      <c r="K53" s="3"/>
      <c r="L53" s="3"/>
      <c r="M53" s="3"/>
      <c r="N53" s="3"/>
      <c r="O53" s="3"/>
      <c r="P53" s="3"/>
      <c r="Q53" s="3"/>
      <c r="R53" s="3"/>
      <c r="S53" s="3"/>
      <c r="T53" s="3"/>
    </row>
    <row r="54" spans="1:20" x14ac:dyDescent="0.35">
      <c r="A54" s="3"/>
      <c r="B54" s="3"/>
      <c r="C54" s="3"/>
      <c r="D54" s="3"/>
      <c r="E54" s="3"/>
      <c r="F54" s="3"/>
      <c r="G54" s="3"/>
      <c r="H54" s="3"/>
      <c r="I54" s="3"/>
      <c r="J54" s="3"/>
      <c r="K54" s="3"/>
      <c r="L54" s="3"/>
      <c r="M54" s="3"/>
      <c r="N54" s="3"/>
      <c r="O54" s="3"/>
      <c r="P54" s="3"/>
      <c r="Q54" s="3"/>
      <c r="R54" s="3"/>
      <c r="S54" s="3"/>
      <c r="T54" s="3"/>
    </row>
    <row r="55" spans="1:20" x14ac:dyDescent="0.35">
      <c r="A55" s="3"/>
      <c r="B55" s="3"/>
      <c r="C55" s="3"/>
      <c r="D55" s="3"/>
      <c r="E55" s="3"/>
      <c r="F55" s="3"/>
      <c r="G55" s="3"/>
      <c r="H55" s="3"/>
      <c r="I55" s="3"/>
      <c r="J55" s="3"/>
      <c r="K55" s="3"/>
      <c r="L55" s="3"/>
      <c r="M55" s="3"/>
      <c r="N55" s="3"/>
      <c r="O55" s="3"/>
      <c r="P55" s="3"/>
      <c r="Q55" s="3"/>
      <c r="R55" s="3"/>
      <c r="S55" s="3"/>
      <c r="T55" s="3"/>
    </row>
    <row r="56" spans="1:20" x14ac:dyDescent="0.35">
      <c r="A56" s="3"/>
      <c r="B56" s="3"/>
      <c r="C56" s="3"/>
      <c r="D56" s="3"/>
      <c r="E56" s="3"/>
      <c r="F56" s="3"/>
      <c r="G56" s="3"/>
      <c r="H56" s="3"/>
      <c r="I56" s="3"/>
      <c r="J56" s="3"/>
      <c r="K56" s="3"/>
      <c r="L56" s="3"/>
      <c r="M56" s="3"/>
      <c r="N56" s="3"/>
      <c r="O56" s="3"/>
      <c r="P56" s="3"/>
      <c r="Q56" s="3"/>
      <c r="R56" s="3"/>
      <c r="S56" s="3"/>
      <c r="T56" s="3"/>
    </row>
    <row r="57" spans="1:20" x14ac:dyDescent="0.35">
      <c r="A57" s="3"/>
      <c r="B57" s="3"/>
      <c r="C57" s="3"/>
      <c r="D57" s="3"/>
      <c r="E57" s="3"/>
      <c r="F57" s="3"/>
      <c r="G57" s="3"/>
      <c r="H57" s="3"/>
      <c r="I57" s="3"/>
      <c r="J57" s="3"/>
      <c r="K57" s="3"/>
      <c r="L57" s="3"/>
      <c r="M57" s="3"/>
      <c r="N57" s="3"/>
      <c r="O57" s="3"/>
      <c r="P57" s="3"/>
      <c r="Q57" s="3"/>
      <c r="R57" s="3"/>
      <c r="S57" s="3"/>
      <c r="T57" s="3"/>
    </row>
    <row r="58" spans="1:20" x14ac:dyDescent="0.35">
      <c r="A58" s="3"/>
      <c r="B58" s="3"/>
      <c r="C58" s="3"/>
      <c r="D58" s="3"/>
      <c r="E58" s="3"/>
      <c r="F58" s="3"/>
      <c r="G58" s="3"/>
      <c r="H58" s="3"/>
      <c r="I58" s="3"/>
      <c r="J58" s="3"/>
      <c r="K58" s="3"/>
      <c r="L58" s="3"/>
      <c r="M58" s="3"/>
      <c r="N58" s="3"/>
      <c r="O58" s="3"/>
      <c r="P58" s="3"/>
      <c r="Q58" s="3"/>
      <c r="R58" s="3"/>
      <c r="S58" s="3"/>
      <c r="T58" s="3"/>
    </row>
    <row r="59" spans="1:20" x14ac:dyDescent="0.35">
      <c r="A59" s="3"/>
      <c r="B59" s="3"/>
      <c r="C59" s="3"/>
      <c r="D59" s="3"/>
      <c r="E59" s="3"/>
      <c r="F59" s="3"/>
      <c r="G59" s="3"/>
      <c r="H59" s="3"/>
      <c r="I59" s="3"/>
      <c r="J59" s="3"/>
      <c r="K59" s="3"/>
      <c r="L59" s="3"/>
      <c r="M59" s="3"/>
      <c r="N59" s="3"/>
      <c r="O59" s="3"/>
      <c r="P59" s="3"/>
      <c r="Q59" s="3"/>
      <c r="R59" s="3"/>
      <c r="S59" s="3"/>
      <c r="T59" s="3"/>
    </row>
    <row r="60" spans="1:20" x14ac:dyDescent="0.35">
      <c r="A60" s="3"/>
      <c r="B60" s="3"/>
      <c r="C60" s="3"/>
      <c r="D60" s="3"/>
      <c r="E60" s="3"/>
      <c r="F60" s="3"/>
      <c r="G60" s="3"/>
      <c r="H60" s="3"/>
      <c r="I60" s="3"/>
      <c r="J60" s="3"/>
      <c r="K60" s="3"/>
      <c r="L60" s="3"/>
      <c r="M60" s="3"/>
      <c r="N60" s="3"/>
      <c r="O60" s="3"/>
      <c r="P60" s="3"/>
      <c r="Q60" s="3"/>
      <c r="R60" s="3"/>
      <c r="S60" s="3"/>
      <c r="T60" s="3"/>
    </row>
    <row r="61" spans="1:20" x14ac:dyDescent="0.35">
      <c r="A61" s="3"/>
      <c r="B61" s="3"/>
      <c r="C61" s="3"/>
      <c r="D61" s="3"/>
      <c r="E61" s="3"/>
      <c r="F61" s="3"/>
      <c r="G61" s="3"/>
      <c r="H61" s="3"/>
      <c r="I61" s="3"/>
      <c r="J61" s="3"/>
      <c r="K61" s="3"/>
      <c r="L61" s="3"/>
      <c r="M61" s="3"/>
      <c r="N61" s="3"/>
      <c r="O61" s="3"/>
      <c r="P61" s="3"/>
      <c r="Q61" s="3"/>
      <c r="R61" s="3"/>
      <c r="S61" s="3"/>
      <c r="T61" s="3"/>
    </row>
    <row r="62" spans="1:20" x14ac:dyDescent="0.35">
      <c r="A62" s="3"/>
      <c r="B62" s="3"/>
      <c r="C62" s="3"/>
      <c r="D62" s="3"/>
      <c r="E62" s="3"/>
      <c r="F62" s="3"/>
      <c r="G62" s="3"/>
      <c r="H62" s="3"/>
      <c r="I62" s="3"/>
      <c r="J62" s="3"/>
      <c r="K62" s="3"/>
      <c r="L62" s="3"/>
      <c r="M62" s="3"/>
      <c r="N62" s="3"/>
      <c r="O62" s="3"/>
      <c r="P62" s="3"/>
      <c r="Q62" s="3"/>
      <c r="R62" s="3"/>
      <c r="S62" s="3"/>
      <c r="T62" s="3"/>
    </row>
    <row r="63" spans="1:20" x14ac:dyDescent="0.35">
      <c r="A63" s="3"/>
      <c r="B63" s="3"/>
      <c r="C63" s="3"/>
      <c r="D63" s="3"/>
      <c r="E63" s="3"/>
      <c r="F63" s="3"/>
      <c r="G63" s="3"/>
      <c r="H63" s="3"/>
      <c r="I63" s="3"/>
      <c r="J63" s="3"/>
      <c r="K63" s="3"/>
      <c r="L63" s="3"/>
      <c r="M63" s="3"/>
      <c r="N63" s="3"/>
      <c r="O63" s="3"/>
      <c r="P63" s="3"/>
      <c r="Q63" s="3"/>
      <c r="R63" s="3"/>
      <c r="S63" s="3"/>
      <c r="T63" s="3"/>
    </row>
    <row r="64" spans="1:20" x14ac:dyDescent="0.35">
      <c r="A64" s="3"/>
      <c r="B64" s="3"/>
      <c r="C64" s="3"/>
      <c r="D64" s="3"/>
      <c r="E64" s="3"/>
      <c r="F64" s="3"/>
      <c r="G64" s="3"/>
      <c r="H64" s="3"/>
      <c r="I64" s="3"/>
      <c r="J64" s="3"/>
      <c r="K64" s="3"/>
      <c r="L64" s="3"/>
      <c r="M64" s="3"/>
      <c r="N64" s="3"/>
      <c r="O64" s="3"/>
      <c r="P64" s="3"/>
      <c r="Q64" s="3"/>
      <c r="R64" s="3"/>
      <c r="S64" s="3"/>
      <c r="T64" s="3"/>
    </row>
    <row r="65" spans="1:20" x14ac:dyDescent="0.35">
      <c r="A65" s="3"/>
      <c r="B65" s="3"/>
      <c r="C65" s="3"/>
      <c r="D65" s="3"/>
      <c r="E65" s="3"/>
      <c r="F65" s="3"/>
      <c r="G65" s="3"/>
      <c r="H65" s="3"/>
      <c r="I65" s="3"/>
      <c r="J65" s="3"/>
      <c r="K65" s="3"/>
      <c r="L65" s="3"/>
      <c r="M65" s="3"/>
      <c r="N65" s="3"/>
      <c r="O65" s="3"/>
      <c r="P65" s="3"/>
      <c r="Q65" s="3"/>
      <c r="R65" s="3"/>
      <c r="S65" s="3"/>
      <c r="T65" s="3"/>
    </row>
    <row r="66" spans="1:20" x14ac:dyDescent="0.35">
      <c r="A66" s="3"/>
      <c r="B66" s="3"/>
      <c r="C66" s="3"/>
      <c r="D66" s="3"/>
      <c r="E66" s="3"/>
      <c r="F66" s="3"/>
      <c r="G66" s="3"/>
      <c r="H66" s="3"/>
      <c r="I66" s="3"/>
      <c r="J66" s="3"/>
      <c r="K66" s="3"/>
      <c r="L66" s="3"/>
      <c r="M66" s="3"/>
      <c r="N66" s="3"/>
      <c r="O66" s="3"/>
      <c r="P66" s="3"/>
      <c r="Q66" s="3"/>
      <c r="R66" s="3"/>
      <c r="S66" s="3"/>
      <c r="T66" s="3"/>
    </row>
    <row r="67" spans="1:20" x14ac:dyDescent="0.35">
      <c r="A67" s="3"/>
      <c r="B67" s="3"/>
      <c r="C67" s="3"/>
      <c r="D67" s="3"/>
      <c r="E67" s="3"/>
      <c r="F67" s="3"/>
      <c r="G67" s="3"/>
      <c r="H67" s="3"/>
      <c r="I67" s="3"/>
      <c r="J67" s="3"/>
      <c r="K67" s="3"/>
      <c r="L67" s="3"/>
      <c r="M67" s="3"/>
      <c r="N67" s="3"/>
      <c r="O67" s="3"/>
      <c r="P67" s="3"/>
      <c r="Q67" s="3"/>
      <c r="R67" s="3"/>
      <c r="S67" s="3"/>
      <c r="T67" s="3"/>
    </row>
    <row r="68" spans="1:20" x14ac:dyDescent="0.35">
      <c r="A68" s="3"/>
      <c r="B68" s="3"/>
      <c r="C68" s="3"/>
      <c r="D68" s="3"/>
      <c r="E68" s="3"/>
      <c r="F68" s="3"/>
      <c r="G68" s="3"/>
      <c r="H68" s="3"/>
      <c r="I68" s="3"/>
      <c r="J68" s="3"/>
      <c r="K68" s="3"/>
      <c r="L68" s="3"/>
      <c r="M68" s="3"/>
      <c r="N68" s="3"/>
      <c r="O68" s="3"/>
      <c r="P68" s="3"/>
      <c r="Q68" s="3"/>
      <c r="R68" s="3"/>
      <c r="S68" s="3"/>
      <c r="T68" s="3"/>
    </row>
    <row r="69" spans="1:20" x14ac:dyDescent="0.35">
      <c r="A69" s="3"/>
      <c r="B69" s="3"/>
      <c r="C69" s="3"/>
      <c r="D69" s="3"/>
      <c r="E69" s="3"/>
      <c r="F69" s="3"/>
      <c r="G69" s="3"/>
      <c r="H69" s="3"/>
      <c r="I69" s="3"/>
      <c r="J69" s="3"/>
      <c r="K69" s="3"/>
      <c r="L69" s="3"/>
      <c r="M69" s="3"/>
      <c r="N69" s="3"/>
      <c r="O69" s="3"/>
      <c r="P69" s="3"/>
      <c r="Q69" s="3"/>
      <c r="R69" s="3"/>
      <c r="S69" s="3"/>
      <c r="T69" s="3"/>
    </row>
    <row r="70" spans="1:20" x14ac:dyDescent="0.35">
      <c r="A70" s="3"/>
      <c r="B70" s="3"/>
      <c r="C70" s="3"/>
      <c r="D70" s="3"/>
      <c r="E70" s="3"/>
      <c r="F70" s="3"/>
      <c r="G70" s="3"/>
      <c r="H70" s="3"/>
      <c r="I70" s="3"/>
      <c r="J70" s="3"/>
      <c r="K70" s="3"/>
      <c r="L70" s="3"/>
      <c r="M70" s="3"/>
      <c r="N70" s="3"/>
      <c r="O70" s="3"/>
      <c r="P70" s="3"/>
      <c r="Q70" s="3"/>
      <c r="R70" s="3"/>
      <c r="S70" s="3"/>
      <c r="T70" s="3"/>
    </row>
    <row r="71" spans="1:20" x14ac:dyDescent="0.35">
      <c r="A71" s="3"/>
      <c r="B71" s="3"/>
      <c r="C71" s="3"/>
      <c r="D71" s="3"/>
      <c r="E71" s="3"/>
      <c r="F71" s="3"/>
      <c r="G71" s="3"/>
      <c r="H71" s="3"/>
      <c r="I71" s="3"/>
      <c r="J71" s="3"/>
      <c r="K71" s="3"/>
      <c r="L71" s="3"/>
      <c r="M71" s="3"/>
      <c r="N71" s="3"/>
      <c r="O71" s="3"/>
      <c r="P71" s="3"/>
      <c r="Q71" s="3"/>
      <c r="R71" s="3"/>
      <c r="S71" s="3"/>
      <c r="T71" s="3"/>
    </row>
    <row r="72" spans="1:20" x14ac:dyDescent="0.35">
      <c r="A72" s="3"/>
      <c r="B72" s="3"/>
      <c r="C72" s="3"/>
      <c r="D72" s="3"/>
      <c r="E72" s="3"/>
      <c r="F72" s="3"/>
      <c r="G72" s="3"/>
      <c r="H72" s="3"/>
      <c r="I72" s="3"/>
      <c r="J72" s="3"/>
      <c r="K72" s="3"/>
      <c r="L72" s="3"/>
      <c r="M72" s="3"/>
      <c r="N72" s="3"/>
      <c r="O72" s="3"/>
      <c r="P72" s="3"/>
      <c r="Q72" s="3"/>
      <c r="R72" s="3"/>
      <c r="S72" s="3"/>
      <c r="T72" s="3"/>
    </row>
    <row r="73" spans="1:20" x14ac:dyDescent="0.35">
      <c r="A73" s="3"/>
      <c r="B73" s="3"/>
      <c r="C73" s="3"/>
      <c r="D73" s="3"/>
      <c r="E73" s="3"/>
      <c r="F73" s="3"/>
      <c r="G73" s="3"/>
      <c r="H73" s="3"/>
      <c r="I73" s="3"/>
      <c r="J73" s="3"/>
      <c r="K73" s="3"/>
      <c r="L73" s="3"/>
      <c r="M73" s="3"/>
      <c r="N73" s="3"/>
      <c r="O73" s="3"/>
      <c r="P73" s="3"/>
      <c r="Q73" s="3"/>
      <c r="R73" s="3"/>
      <c r="S73" s="3"/>
      <c r="T73" s="3"/>
    </row>
    <row r="74" spans="1:20" x14ac:dyDescent="0.35">
      <c r="A74" s="3"/>
      <c r="B74" s="3"/>
      <c r="C74" s="3"/>
      <c r="D74" s="3"/>
      <c r="E74" s="3"/>
      <c r="F74" s="3"/>
      <c r="G74" s="3"/>
      <c r="H74" s="3"/>
      <c r="I74" s="3"/>
      <c r="J74" s="3"/>
      <c r="K74" s="3"/>
      <c r="L74" s="3"/>
      <c r="M74" s="3"/>
      <c r="N74" s="3"/>
      <c r="O74" s="3"/>
      <c r="P74" s="3"/>
      <c r="Q74" s="3"/>
      <c r="R74" s="3"/>
      <c r="S74" s="3"/>
      <c r="T74" s="3"/>
    </row>
    <row r="75" spans="1:20" x14ac:dyDescent="0.35">
      <c r="A75" s="3"/>
      <c r="B75" s="3"/>
      <c r="C75" s="3"/>
      <c r="D75" s="3"/>
      <c r="E75" s="3"/>
      <c r="F75" s="3"/>
      <c r="G75" s="3"/>
      <c r="H75" s="3"/>
      <c r="I75" s="3"/>
      <c r="J75" s="3"/>
      <c r="K75" s="3"/>
      <c r="L75" s="3"/>
      <c r="M75" s="3"/>
      <c r="N75" s="3"/>
      <c r="O75" s="3"/>
      <c r="P75" s="3"/>
      <c r="Q75" s="3"/>
      <c r="R75" s="3"/>
      <c r="S75" s="3"/>
      <c r="T75" s="3"/>
    </row>
    <row r="76" spans="1:20" x14ac:dyDescent="0.35">
      <c r="A76" s="3"/>
      <c r="B76" s="3"/>
      <c r="C76" s="3"/>
      <c r="D76" s="3"/>
      <c r="E76" s="3"/>
      <c r="F76" s="3"/>
      <c r="G76" s="3"/>
      <c r="H76" s="3"/>
      <c r="I76" s="3"/>
      <c r="J76" s="3"/>
      <c r="K76" s="3"/>
      <c r="L76" s="3"/>
      <c r="M76" s="3"/>
      <c r="N76" s="3"/>
      <c r="O76" s="3"/>
      <c r="P76" s="3"/>
      <c r="Q76" s="3"/>
      <c r="R76" s="3"/>
      <c r="S76" s="3"/>
      <c r="T76" s="3"/>
    </row>
    <row r="77" spans="1:20" x14ac:dyDescent="0.35">
      <c r="A77" s="3"/>
      <c r="B77" s="3"/>
      <c r="C77" s="3"/>
      <c r="D77" s="3"/>
      <c r="E77" s="3"/>
      <c r="F77" s="3"/>
      <c r="G77" s="3"/>
      <c r="H77" s="3"/>
      <c r="I77" s="3"/>
      <c r="J77" s="3"/>
      <c r="K77" s="3"/>
      <c r="L77" s="3"/>
      <c r="M77" s="3"/>
      <c r="N77" s="3"/>
      <c r="O77" s="3"/>
      <c r="P77" s="3"/>
      <c r="Q77" s="3"/>
      <c r="R77" s="3"/>
      <c r="S77" s="3"/>
      <c r="T77" s="3"/>
    </row>
    <row r="78" spans="1:20" x14ac:dyDescent="0.35">
      <c r="A78" s="3"/>
      <c r="B78" s="3"/>
      <c r="C78" s="3"/>
      <c r="D78" s="3"/>
      <c r="E78" s="3"/>
      <c r="F78" s="3"/>
      <c r="G78" s="3"/>
      <c r="H78" s="3"/>
      <c r="I78" s="3"/>
      <c r="J78" s="3"/>
      <c r="K78" s="3"/>
      <c r="L78" s="3"/>
      <c r="M78" s="3"/>
      <c r="N78" s="3"/>
      <c r="O78" s="3"/>
      <c r="P78" s="3"/>
      <c r="Q78" s="3"/>
      <c r="R78" s="3"/>
      <c r="S78" s="3"/>
      <c r="T78" s="3"/>
    </row>
    <row r="79" spans="1:20" x14ac:dyDescent="0.35">
      <c r="A79" s="3"/>
      <c r="B79" s="3"/>
      <c r="C79" s="3"/>
      <c r="D79" s="3"/>
      <c r="E79" s="3"/>
      <c r="F79" s="3"/>
      <c r="G79" s="3"/>
      <c r="H79" s="3"/>
      <c r="I79" s="3"/>
      <c r="J79" s="3"/>
      <c r="K79" s="3"/>
      <c r="L79" s="3"/>
      <c r="M79" s="3"/>
      <c r="N79" s="3"/>
      <c r="O79" s="3"/>
      <c r="P79" s="3"/>
      <c r="Q79" s="3"/>
      <c r="R79" s="3"/>
      <c r="S79" s="3"/>
      <c r="T79" s="3"/>
    </row>
    <row r="80" spans="1:20" x14ac:dyDescent="0.35">
      <c r="A80" s="3"/>
      <c r="B80" s="3"/>
      <c r="C80" s="3"/>
      <c r="D80" s="3"/>
      <c r="E80" s="3"/>
      <c r="F80" s="3"/>
      <c r="G80" s="3"/>
      <c r="H80" s="3"/>
      <c r="I80" s="3"/>
      <c r="J80" s="3"/>
      <c r="K80" s="3"/>
      <c r="L80" s="3"/>
      <c r="M80" s="3"/>
      <c r="N80" s="3"/>
      <c r="O80" s="3"/>
      <c r="P80" s="3"/>
      <c r="Q80" s="3"/>
      <c r="R80" s="3"/>
      <c r="S80" s="3"/>
      <c r="T80" s="3"/>
    </row>
    <row r="81" spans="1:20" x14ac:dyDescent="0.35">
      <c r="A81" s="3"/>
      <c r="B81" s="3"/>
      <c r="C81" s="3"/>
      <c r="D81" s="3"/>
      <c r="E81" s="3"/>
      <c r="F81" s="3"/>
      <c r="G81" s="3"/>
      <c r="H81" s="3"/>
      <c r="I81" s="3"/>
      <c r="J81" s="3"/>
      <c r="K81" s="3"/>
      <c r="L81" s="3"/>
      <c r="M81" s="3"/>
      <c r="N81" s="3"/>
      <c r="O81" s="3"/>
      <c r="P81" s="3"/>
      <c r="Q81" s="3"/>
      <c r="R81" s="3"/>
      <c r="S81" s="3"/>
      <c r="T81" s="3"/>
    </row>
    <row r="82" spans="1:20" x14ac:dyDescent="0.35">
      <c r="A82" s="3"/>
      <c r="B82" s="3"/>
      <c r="C82" s="3"/>
      <c r="D82" s="3"/>
      <c r="E82" s="3"/>
      <c r="F82" s="3"/>
      <c r="G82" s="3"/>
      <c r="H82" s="3"/>
      <c r="I82" s="3"/>
      <c r="J82" s="3"/>
      <c r="K82" s="3"/>
      <c r="L82" s="3"/>
      <c r="M82" s="3"/>
      <c r="N82" s="3"/>
      <c r="O82" s="3"/>
      <c r="P82" s="3"/>
      <c r="Q82" s="3"/>
      <c r="R82" s="3"/>
      <c r="S82" s="3"/>
      <c r="T82" s="3"/>
    </row>
    <row r="83" spans="1:20" x14ac:dyDescent="0.35">
      <c r="A83" s="3"/>
      <c r="B83" s="3"/>
      <c r="C83" s="3"/>
      <c r="D83" s="3"/>
      <c r="E83" s="3"/>
      <c r="F83" s="3"/>
      <c r="G83" s="3"/>
      <c r="H83" s="3"/>
      <c r="I83" s="3"/>
      <c r="J83" s="3"/>
      <c r="K83" s="3"/>
      <c r="L83" s="3"/>
      <c r="M83" s="3"/>
      <c r="N83" s="3"/>
      <c r="O83" s="3"/>
      <c r="P83" s="3"/>
      <c r="Q83" s="3"/>
      <c r="R83" s="3"/>
      <c r="S83" s="3"/>
      <c r="T83" s="3"/>
    </row>
    <row r="84" spans="1:20" x14ac:dyDescent="0.35">
      <c r="A84" s="3"/>
      <c r="B84" s="3"/>
      <c r="C84" s="3"/>
      <c r="D84" s="3"/>
      <c r="E84" s="3"/>
      <c r="F84" s="3"/>
      <c r="G84" s="3"/>
      <c r="H84" s="3"/>
      <c r="I84" s="3"/>
      <c r="J84" s="3"/>
      <c r="K84" s="3"/>
      <c r="L84" s="3"/>
      <c r="M84" s="3"/>
      <c r="N84" s="3"/>
      <c r="O84" s="3"/>
      <c r="P84" s="3"/>
      <c r="Q84" s="3"/>
      <c r="R84" s="3"/>
      <c r="S84" s="3"/>
      <c r="T84" s="3"/>
    </row>
    <row r="85" spans="1:20" x14ac:dyDescent="0.35">
      <c r="A85" s="3"/>
      <c r="B85" s="3"/>
      <c r="C85" s="3"/>
      <c r="D85" s="3"/>
      <c r="E85" s="3"/>
      <c r="F85" s="3"/>
      <c r="G85" s="3"/>
      <c r="H85" s="3"/>
      <c r="I85" s="3"/>
      <c r="J85" s="3"/>
      <c r="K85" s="3"/>
      <c r="L85" s="3"/>
      <c r="M85" s="3"/>
      <c r="N85" s="3"/>
      <c r="O85" s="3"/>
      <c r="P85" s="3"/>
      <c r="Q85" s="3"/>
      <c r="R85" s="3"/>
      <c r="S85" s="3"/>
      <c r="T85" s="3"/>
    </row>
    <row r="86" spans="1:20" x14ac:dyDescent="0.35">
      <c r="A86" s="3"/>
      <c r="B86" s="3"/>
      <c r="C86" s="3"/>
      <c r="D86" s="3"/>
      <c r="E86" s="3"/>
      <c r="F86" s="3"/>
      <c r="G86" s="3"/>
      <c r="H86" s="3"/>
      <c r="I86" s="3"/>
      <c r="J86" s="3"/>
      <c r="K86" s="3"/>
      <c r="L86" s="3"/>
      <c r="M86" s="3"/>
      <c r="N86" s="3"/>
      <c r="O86" s="3"/>
      <c r="P86" s="3"/>
      <c r="Q86" s="3"/>
      <c r="R86" s="3"/>
      <c r="S86" s="3"/>
      <c r="T86" s="3"/>
    </row>
    <row r="87" spans="1:20" x14ac:dyDescent="0.35">
      <c r="A87" s="3"/>
      <c r="B87" s="3"/>
      <c r="C87" s="3"/>
      <c r="D87" s="3"/>
      <c r="E87" s="3"/>
      <c r="F87" s="3"/>
      <c r="G87" s="3"/>
      <c r="H87" s="3"/>
      <c r="I87" s="3"/>
      <c r="J87" s="3"/>
      <c r="K87" s="3"/>
      <c r="L87" s="3"/>
      <c r="M87" s="3"/>
      <c r="N87" s="3"/>
      <c r="O87" s="3"/>
      <c r="P87" s="3"/>
      <c r="Q87" s="3"/>
      <c r="R87" s="3"/>
      <c r="S87" s="3"/>
      <c r="T87" s="3"/>
    </row>
    <row r="88" spans="1:20" x14ac:dyDescent="0.35">
      <c r="A88" s="3"/>
      <c r="B88" s="3"/>
      <c r="C88" s="3"/>
      <c r="D88" s="3"/>
      <c r="E88" s="3"/>
      <c r="F88" s="3"/>
      <c r="G88" s="3"/>
      <c r="H88" s="3"/>
      <c r="I88" s="3"/>
      <c r="J88" s="3"/>
      <c r="K88" s="3"/>
      <c r="L88" s="3"/>
      <c r="M88" s="3"/>
      <c r="N88" s="3"/>
      <c r="O88" s="3"/>
      <c r="P88" s="3"/>
      <c r="Q88" s="3"/>
      <c r="R88" s="3"/>
      <c r="S88" s="3"/>
      <c r="T88" s="3"/>
    </row>
    <row r="89" spans="1:20" x14ac:dyDescent="0.35">
      <c r="A89" s="3"/>
      <c r="B89" s="3"/>
      <c r="C89" s="3"/>
      <c r="D89" s="3"/>
      <c r="E89" s="3"/>
      <c r="F89" s="3"/>
      <c r="G89" s="3"/>
      <c r="H89" s="3"/>
      <c r="I89" s="3"/>
      <c r="J89" s="3"/>
      <c r="K89" s="3"/>
      <c r="L89" s="3"/>
      <c r="M89" s="3"/>
      <c r="N89" s="3"/>
      <c r="O89" s="3"/>
      <c r="P89" s="3"/>
      <c r="Q89" s="3"/>
      <c r="R89" s="3"/>
      <c r="S89" s="3"/>
      <c r="T89" s="3"/>
    </row>
    <row r="90" spans="1:20" x14ac:dyDescent="0.35">
      <c r="A90" s="3"/>
      <c r="B90" s="3"/>
      <c r="C90" s="3"/>
      <c r="D90" s="3"/>
      <c r="E90" s="3"/>
      <c r="F90" s="3"/>
      <c r="G90" s="3"/>
      <c r="H90" s="3"/>
      <c r="I90" s="3"/>
      <c r="J90" s="3"/>
      <c r="K90" s="3"/>
      <c r="L90" s="3"/>
      <c r="M90" s="3"/>
      <c r="N90" s="3"/>
      <c r="O90" s="3"/>
      <c r="P90" s="3"/>
      <c r="Q90" s="3"/>
      <c r="R90" s="3"/>
      <c r="S90" s="3"/>
      <c r="T90" s="3"/>
    </row>
    <row r="91" spans="1:20" x14ac:dyDescent="0.35">
      <c r="A91" s="3"/>
      <c r="B91" s="3"/>
      <c r="C91" s="3"/>
      <c r="D91" s="3"/>
      <c r="E91" s="3"/>
      <c r="F91" s="3"/>
      <c r="G91" s="3"/>
      <c r="H91" s="3"/>
      <c r="I91" s="3"/>
      <c r="J91" s="3"/>
      <c r="K91" s="3"/>
      <c r="L91" s="3"/>
      <c r="M91" s="3"/>
      <c r="N91" s="3"/>
      <c r="O91" s="3"/>
      <c r="P91" s="3"/>
      <c r="Q91" s="3"/>
      <c r="R91" s="3"/>
      <c r="S91" s="3"/>
      <c r="T91" s="3"/>
    </row>
    <row r="92" spans="1:20" x14ac:dyDescent="0.35">
      <c r="A92" s="3"/>
      <c r="B92" s="3"/>
      <c r="C92" s="3"/>
      <c r="D92" s="3"/>
      <c r="E92" s="3"/>
      <c r="F92" s="3"/>
      <c r="G92" s="3"/>
      <c r="H92" s="3"/>
      <c r="I92" s="3"/>
      <c r="J92" s="3"/>
      <c r="K92" s="3"/>
      <c r="L92" s="3"/>
      <c r="M92" s="3"/>
      <c r="N92" s="3"/>
      <c r="O92" s="3"/>
      <c r="P92" s="3"/>
      <c r="Q92" s="3"/>
      <c r="R92" s="3"/>
      <c r="S92" s="3"/>
      <c r="T92" s="3"/>
    </row>
    <row r="93" spans="1:20" x14ac:dyDescent="0.35">
      <c r="A93" s="3"/>
      <c r="B93" s="3"/>
      <c r="C93" s="3"/>
      <c r="D93" s="3"/>
      <c r="E93" s="3"/>
      <c r="F93" s="3"/>
      <c r="G93" s="3"/>
      <c r="H93" s="3"/>
      <c r="I93" s="3"/>
      <c r="J93" s="3"/>
      <c r="K93" s="3"/>
      <c r="L93" s="3"/>
      <c r="M93" s="3"/>
      <c r="N93" s="3"/>
      <c r="O93" s="3"/>
      <c r="P93" s="3"/>
      <c r="Q93" s="3"/>
      <c r="R93" s="3"/>
      <c r="S93" s="3"/>
      <c r="T93" s="3"/>
    </row>
    <row r="94" spans="1:20" x14ac:dyDescent="0.35">
      <c r="A94" s="3"/>
      <c r="B94" s="3"/>
      <c r="C94" s="3"/>
      <c r="D94" s="3"/>
      <c r="E94" s="3"/>
      <c r="F94" s="3"/>
      <c r="G94" s="3"/>
      <c r="H94" s="3"/>
      <c r="I94" s="3"/>
      <c r="J94" s="3"/>
      <c r="K94" s="3"/>
      <c r="L94" s="3"/>
      <c r="M94" s="3"/>
      <c r="N94" s="3"/>
      <c r="O94" s="3"/>
      <c r="P94" s="3"/>
      <c r="Q94" s="3"/>
      <c r="R94" s="3"/>
      <c r="S94" s="3"/>
      <c r="T94" s="3"/>
    </row>
    <row r="95" spans="1:20" x14ac:dyDescent="0.35">
      <c r="A95" s="3"/>
      <c r="B95" s="3"/>
      <c r="C95" s="3"/>
      <c r="D95" s="3"/>
      <c r="E95" s="3"/>
      <c r="F95" s="3"/>
      <c r="G95" s="3"/>
      <c r="H95" s="3"/>
      <c r="I95" s="3"/>
      <c r="J95" s="3"/>
      <c r="K95" s="3"/>
      <c r="L95" s="3"/>
      <c r="M95" s="3"/>
      <c r="N95" s="3"/>
      <c r="O95" s="3"/>
      <c r="P95" s="3"/>
      <c r="Q95" s="3"/>
      <c r="R95" s="3"/>
      <c r="S95" s="3"/>
      <c r="T95" s="3"/>
    </row>
    <row r="96" spans="1:20" x14ac:dyDescent="0.35">
      <c r="A96" s="3"/>
      <c r="B96" s="3"/>
      <c r="C96" s="3"/>
      <c r="D96" s="3"/>
      <c r="E96" s="3"/>
      <c r="F96" s="3"/>
      <c r="G96" s="3"/>
      <c r="H96" s="3"/>
      <c r="I96" s="3"/>
      <c r="J96" s="3"/>
      <c r="K96" s="3"/>
      <c r="L96" s="3"/>
      <c r="M96" s="3"/>
      <c r="N96" s="3"/>
      <c r="O96" s="3"/>
      <c r="P96" s="3"/>
      <c r="Q96" s="3"/>
      <c r="R96" s="3"/>
      <c r="S96" s="3"/>
      <c r="T96" s="3"/>
    </row>
    <row r="97" spans="1:20" x14ac:dyDescent="0.35">
      <c r="A97" s="3"/>
      <c r="B97" s="3"/>
      <c r="C97" s="3"/>
      <c r="D97" s="3"/>
      <c r="E97" s="3"/>
      <c r="F97" s="3"/>
      <c r="G97" s="3"/>
      <c r="H97" s="3"/>
      <c r="I97" s="3"/>
      <c r="J97" s="3"/>
      <c r="K97" s="3"/>
      <c r="L97" s="3"/>
      <c r="M97" s="3"/>
      <c r="N97" s="3"/>
      <c r="O97" s="3"/>
      <c r="P97" s="3"/>
      <c r="Q97" s="3"/>
      <c r="R97" s="3"/>
      <c r="S97" s="3"/>
      <c r="T97" s="3"/>
    </row>
    <row r="98" spans="1:20" x14ac:dyDescent="0.35">
      <c r="A98" s="3"/>
      <c r="B98" s="3"/>
      <c r="C98" s="3"/>
      <c r="D98" s="3"/>
      <c r="E98" s="3"/>
      <c r="F98" s="3"/>
      <c r="G98" s="3"/>
      <c r="H98" s="3"/>
      <c r="I98" s="3"/>
      <c r="J98" s="3"/>
      <c r="K98" s="3"/>
      <c r="L98" s="3"/>
      <c r="M98" s="3"/>
      <c r="N98" s="3"/>
      <c r="O98" s="3"/>
      <c r="P98" s="3"/>
      <c r="Q98" s="3"/>
      <c r="R98" s="3"/>
      <c r="S98" s="3"/>
      <c r="T98" s="3"/>
    </row>
    <row r="99" spans="1:20" x14ac:dyDescent="0.35">
      <c r="A99" s="3"/>
      <c r="B99" s="3"/>
      <c r="C99" s="3"/>
      <c r="D99" s="3"/>
      <c r="E99" s="3"/>
      <c r="F99" s="3"/>
      <c r="G99" s="3"/>
      <c r="H99" s="3"/>
      <c r="I99" s="3"/>
      <c r="J99" s="3"/>
      <c r="K99" s="3"/>
      <c r="L99" s="3"/>
      <c r="M99" s="3"/>
      <c r="N99" s="3"/>
      <c r="O99" s="3"/>
      <c r="P99" s="3"/>
      <c r="Q99" s="3"/>
      <c r="R99" s="3"/>
      <c r="S99" s="3"/>
      <c r="T99" s="3"/>
    </row>
    <row r="100" spans="1:20" x14ac:dyDescent="0.35">
      <c r="A100" s="3"/>
      <c r="B100" s="3"/>
      <c r="C100" s="3"/>
      <c r="D100" s="3"/>
      <c r="E100" s="3"/>
      <c r="F100" s="3"/>
      <c r="G100" s="3"/>
      <c r="H100" s="3"/>
      <c r="I100" s="3"/>
      <c r="J100" s="3"/>
      <c r="K100" s="3"/>
      <c r="L100" s="3"/>
      <c r="M100" s="3"/>
      <c r="N100" s="3"/>
      <c r="O100" s="3"/>
      <c r="P100" s="3"/>
      <c r="Q100" s="3"/>
      <c r="R100" s="3"/>
      <c r="S100" s="3"/>
      <c r="T100" s="3"/>
    </row>
    <row r="101" spans="1:20" x14ac:dyDescent="0.35">
      <c r="A101" s="3"/>
      <c r="B101" s="3"/>
      <c r="C101" s="3"/>
      <c r="D101" s="3"/>
      <c r="E101" s="3"/>
      <c r="F101" s="3"/>
      <c r="G101" s="3"/>
      <c r="H101" s="3"/>
      <c r="I101" s="3"/>
      <c r="J101" s="3"/>
      <c r="K101" s="3"/>
      <c r="L101" s="3"/>
      <c r="M101" s="3"/>
      <c r="N101" s="3"/>
      <c r="O101" s="3"/>
      <c r="P101" s="3"/>
      <c r="Q101" s="3"/>
      <c r="R101" s="3"/>
      <c r="S101" s="3"/>
      <c r="T101" s="3"/>
    </row>
    <row r="102" spans="1:20" x14ac:dyDescent="0.35">
      <c r="A102" s="3"/>
      <c r="B102" s="3"/>
      <c r="C102" s="3"/>
      <c r="D102" s="3"/>
      <c r="E102" s="3"/>
      <c r="F102" s="3"/>
      <c r="G102" s="3"/>
      <c r="H102" s="3"/>
      <c r="I102" s="3"/>
      <c r="J102" s="3"/>
      <c r="K102" s="3"/>
      <c r="L102" s="3"/>
      <c r="M102" s="3"/>
      <c r="N102" s="3"/>
      <c r="O102" s="3"/>
      <c r="P102" s="3"/>
      <c r="Q102" s="3"/>
      <c r="R102" s="3"/>
      <c r="S102" s="3"/>
      <c r="T102" s="3"/>
    </row>
    <row r="103" spans="1:20" x14ac:dyDescent="0.35">
      <c r="A103" s="3"/>
      <c r="B103" s="3"/>
      <c r="C103" s="3"/>
      <c r="D103" s="3"/>
      <c r="E103" s="3"/>
      <c r="F103" s="3"/>
      <c r="G103" s="3"/>
      <c r="H103" s="3"/>
      <c r="I103" s="3"/>
      <c r="J103" s="3"/>
      <c r="K103" s="3"/>
      <c r="L103" s="3"/>
      <c r="M103" s="3"/>
      <c r="N103" s="3"/>
      <c r="O103" s="3"/>
      <c r="P103" s="3"/>
      <c r="Q103" s="3"/>
      <c r="R103" s="3"/>
      <c r="S103" s="3"/>
      <c r="T103" s="3"/>
    </row>
    <row r="104" spans="1:20" x14ac:dyDescent="0.35">
      <c r="A104" s="3"/>
      <c r="B104" s="3"/>
      <c r="C104" s="3"/>
      <c r="D104" s="3"/>
      <c r="E104" s="3"/>
      <c r="F104" s="3"/>
      <c r="G104" s="3"/>
      <c r="H104" s="3"/>
      <c r="I104" s="3"/>
      <c r="J104" s="3"/>
      <c r="K104" s="3"/>
      <c r="L104" s="3"/>
      <c r="M104" s="3"/>
      <c r="N104" s="3"/>
      <c r="O104" s="3"/>
      <c r="P104" s="3"/>
      <c r="Q104" s="3"/>
      <c r="R104" s="3"/>
      <c r="S104" s="3"/>
      <c r="T104" s="3"/>
    </row>
    <row r="105" spans="1:20" x14ac:dyDescent="0.35">
      <c r="A105" s="3"/>
      <c r="B105" s="3"/>
      <c r="C105" s="3"/>
      <c r="D105" s="3"/>
      <c r="E105" s="3"/>
      <c r="F105" s="3"/>
      <c r="G105" s="3"/>
      <c r="H105" s="3"/>
      <c r="I105" s="3"/>
      <c r="J105" s="3"/>
      <c r="K105" s="3"/>
      <c r="L105" s="3"/>
      <c r="M105" s="3"/>
      <c r="N105" s="3"/>
      <c r="O105" s="3"/>
      <c r="P105" s="3"/>
      <c r="Q105" s="3"/>
      <c r="R105" s="3"/>
      <c r="S105" s="3"/>
      <c r="T105" s="3"/>
    </row>
    <row r="106" spans="1:20" x14ac:dyDescent="0.35">
      <c r="A106" s="3"/>
      <c r="B106" s="3"/>
      <c r="C106" s="3"/>
      <c r="D106" s="3"/>
      <c r="E106" s="3"/>
      <c r="F106" s="3"/>
      <c r="G106" s="3"/>
      <c r="H106" s="3"/>
      <c r="I106" s="3"/>
      <c r="J106" s="3"/>
      <c r="K106" s="3"/>
      <c r="L106" s="3"/>
      <c r="M106" s="3"/>
      <c r="N106" s="3"/>
      <c r="O106" s="3"/>
      <c r="P106" s="3"/>
      <c r="Q106" s="3"/>
      <c r="R106" s="3"/>
      <c r="S106" s="3"/>
      <c r="T106" s="3"/>
    </row>
    <row r="107" spans="1:20" x14ac:dyDescent="0.35">
      <c r="A107" s="3"/>
      <c r="B107" s="3"/>
      <c r="C107" s="3"/>
      <c r="D107" s="3"/>
      <c r="E107" s="3"/>
      <c r="F107" s="3"/>
      <c r="G107" s="3"/>
      <c r="H107" s="3"/>
      <c r="I107" s="3"/>
      <c r="J107" s="3"/>
      <c r="K107" s="3"/>
      <c r="L107" s="3"/>
      <c r="M107" s="3"/>
      <c r="N107" s="3"/>
      <c r="O107" s="3"/>
      <c r="P107" s="3"/>
      <c r="Q107" s="3"/>
      <c r="R107" s="3"/>
      <c r="S107" s="3"/>
      <c r="T107" s="3"/>
    </row>
    <row r="108" spans="1:20" x14ac:dyDescent="0.35">
      <c r="A108" s="3"/>
      <c r="B108" s="3"/>
      <c r="C108" s="3"/>
      <c r="D108" s="3"/>
      <c r="E108" s="3"/>
      <c r="F108" s="3"/>
      <c r="G108" s="3"/>
      <c r="H108" s="3"/>
      <c r="I108" s="3"/>
      <c r="J108" s="3"/>
      <c r="K108" s="3"/>
      <c r="L108" s="3"/>
      <c r="M108" s="3"/>
      <c r="N108" s="3"/>
      <c r="O108" s="3"/>
      <c r="P108" s="3"/>
      <c r="Q108" s="3"/>
      <c r="R108" s="3"/>
      <c r="S108" s="3"/>
      <c r="T108" s="3"/>
    </row>
    <row r="109" spans="1:20" x14ac:dyDescent="0.35">
      <c r="A109" s="3"/>
      <c r="B109" s="3"/>
      <c r="C109" s="3"/>
      <c r="D109" s="3"/>
      <c r="E109" s="3"/>
      <c r="F109" s="3"/>
      <c r="G109" s="3"/>
      <c r="H109" s="3"/>
      <c r="I109" s="3"/>
      <c r="J109" s="3"/>
      <c r="K109" s="3"/>
      <c r="L109" s="3"/>
      <c r="M109" s="3"/>
      <c r="N109" s="3"/>
      <c r="O109" s="3"/>
      <c r="P109" s="3"/>
      <c r="Q109" s="3"/>
      <c r="R109" s="3"/>
      <c r="S109" s="3"/>
      <c r="T109" s="3"/>
    </row>
    <row r="110" spans="1:20" x14ac:dyDescent="0.35">
      <c r="A110" s="3"/>
      <c r="B110" s="3"/>
      <c r="C110" s="3"/>
      <c r="D110" s="3"/>
      <c r="E110" s="3"/>
      <c r="F110" s="3"/>
      <c r="G110" s="3"/>
      <c r="H110" s="3"/>
      <c r="I110" s="3"/>
      <c r="J110" s="3"/>
      <c r="K110" s="3"/>
      <c r="L110" s="3"/>
      <c r="M110" s="3"/>
      <c r="N110" s="3"/>
      <c r="O110" s="3"/>
      <c r="P110" s="3"/>
      <c r="Q110" s="3"/>
      <c r="R110" s="3"/>
      <c r="S110" s="3"/>
      <c r="T110" s="3"/>
    </row>
    <row r="111" spans="1:20" x14ac:dyDescent="0.35">
      <c r="A111" s="3"/>
      <c r="B111" s="3"/>
      <c r="C111" s="3"/>
      <c r="D111" s="3"/>
      <c r="E111" s="3"/>
      <c r="F111" s="3"/>
      <c r="G111" s="3"/>
      <c r="H111" s="3"/>
      <c r="I111" s="3"/>
      <c r="J111" s="3"/>
      <c r="K111" s="3"/>
      <c r="L111" s="3"/>
      <c r="M111" s="3"/>
      <c r="N111" s="3"/>
      <c r="O111" s="3"/>
      <c r="P111" s="3"/>
      <c r="Q111" s="3"/>
      <c r="R111" s="3"/>
      <c r="S111" s="3"/>
      <c r="T111" s="3"/>
    </row>
    <row r="112" spans="1:20" x14ac:dyDescent="0.35">
      <c r="A112" s="3"/>
      <c r="B112" s="3"/>
      <c r="C112" s="3"/>
      <c r="D112" s="3"/>
      <c r="E112" s="3"/>
      <c r="F112" s="3"/>
      <c r="G112" s="3"/>
      <c r="H112" s="3"/>
      <c r="I112" s="3"/>
      <c r="J112" s="3"/>
      <c r="K112" s="3"/>
      <c r="L112" s="3"/>
      <c r="M112" s="3"/>
      <c r="N112" s="3"/>
      <c r="O112" s="3"/>
      <c r="P112" s="3"/>
      <c r="Q112" s="3"/>
      <c r="R112" s="3"/>
      <c r="S112" s="3"/>
      <c r="T112" s="3"/>
    </row>
    <row r="113" spans="1:20" x14ac:dyDescent="0.35">
      <c r="A113" s="3"/>
      <c r="B113" s="3"/>
      <c r="C113" s="3"/>
      <c r="D113" s="3"/>
      <c r="E113" s="3"/>
      <c r="F113" s="3"/>
      <c r="G113" s="3"/>
      <c r="H113" s="3"/>
      <c r="I113" s="3"/>
      <c r="J113" s="3"/>
      <c r="K113" s="3"/>
      <c r="L113" s="3"/>
      <c r="M113" s="3"/>
      <c r="N113" s="3"/>
      <c r="O113" s="3"/>
      <c r="P113" s="3"/>
      <c r="Q113" s="3"/>
      <c r="R113" s="3"/>
      <c r="S113" s="3"/>
      <c r="T113" s="3"/>
    </row>
    <row r="114" spans="1:20" x14ac:dyDescent="0.35">
      <c r="A114" s="3"/>
      <c r="B114" s="3"/>
      <c r="C114" s="3"/>
      <c r="D114" s="3"/>
      <c r="E114" s="3"/>
      <c r="F114" s="3"/>
      <c r="G114" s="3"/>
      <c r="H114" s="3"/>
      <c r="I114" s="3"/>
      <c r="J114" s="3"/>
      <c r="K114" s="3"/>
      <c r="L114" s="3"/>
      <c r="M114" s="3"/>
      <c r="N114" s="3"/>
      <c r="O114" s="3"/>
      <c r="P114" s="3"/>
      <c r="Q114" s="3"/>
      <c r="R114" s="3"/>
      <c r="S114" s="3"/>
      <c r="T114" s="3"/>
    </row>
    <row r="115" spans="1:20" x14ac:dyDescent="0.35">
      <c r="A115" s="3"/>
      <c r="B115" s="3"/>
      <c r="C115" s="3"/>
      <c r="D115" s="3"/>
      <c r="E115" s="3"/>
      <c r="F115" s="3"/>
      <c r="G115" s="3"/>
      <c r="H115" s="3"/>
      <c r="I115" s="3"/>
      <c r="J115" s="3"/>
      <c r="K115" s="3"/>
      <c r="L115" s="3"/>
      <c r="M115" s="3"/>
      <c r="N115" s="3"/>
      <c r="O115" s="3"/>
      <c r="P115" s="3"/>
      <c r="Q115" s="3"/>
      <c r="R115" s="3"/>
      <c r="S115" s="3"/>
      <c r="T115" s="3"/>
    </row>
    <row r="116" spans="1:20" x14ac:dyDescent="0.35">
      <c r="A116" s="3"/>
      <c r="B116" s="3"/>
      <c r="C116" s="3"/>
      <c r="D116" s="3"/>
      <c r="E116" s="3"/>
      <c r="F116" s="3"/>
      <c r="G116" s="3"/>
      <c r="H116" s="3"/>
      <c r="I116" s="3"/>
      <c r="J116" s="3"/>
      <c r="K116" s="3"/>
      <c r="L116" s="3"/>
      <c r="M116" s="3"/>
      <c r="N116" s="3"/>
      <c r="O116" s="3"/>
      <c r="P116" s="3"/>
      <c r="Q116" s="3"/>
      <c r="R116" s="3"/>
      <c r="S116" s="3"/>
      <c r="T116" s="3"/>
    </row>
    <row r="117" spans="1:20" x14ac:dyDescent="0.35">
      <c r="A117" s="3"/>
      <c r="B117" s="3"/>
      <c r="C117" s="3"/>
      <c r="D117" s="3"/>
      <c r="E117" s="3"/>
      <c r="F117" s="3"/>
      <c r="G117" s="3"/>
      <c r="H117" s="3"/>
      <c r="I117" s="3"/>
      <c r="J117" s="3"/>
      <c r="K117" s="3"/>
      <c r="L117" s="3"/>
      <c r="M117" s="3"/>
      <c r="N117" s="3"/>
      <c r="O117" s="3"/>
      <c r="P117" s="3"/>
      <c r="Q117" s="3"/>
      <c r="R117" s="3"/>
      <c r="S117" s="3"/>
      <c r="T117" s="3"/>
    </row>
    <row r="118" spans="1:20" x14ac:dyDescent="0.35">
      <c r="A118" s="3"/>
      <c r="B118" s="3"/>
      <c r="C118" s="3"/>
      <c r="D118" s="3"/>
      <c r="E118" s="3"/>
      <c r="F118" s="3"/>
      <c r="G118" s="3"/>
      <c r="H118" s="3"/>
      <c r="I118" s="3"/>
      <c r="J118" s="3"/>
      <c r="K118" s="3"/>
      <c r="L118" s="3"/>
      <c r="M118" s="3"/>
      <c r="N118" s="3"/>
      <c r="O118" s="3"/>
      <c r="P118" s="3"/>
      <c r="Q118" s="3"/>
      <c r="R118" s="3"/>
      <c r="S118" s="3"/>
      <c r="T118" s="3"/>
    </row>
    <row r="119" spans="1:20" x14ac:dyDescent="0.35">
      <c r="A119" s="3"/>
      <c r="B119" s="3"/>
      <c r="C119" s="3"/>
      <c r="D119" s="3"/>
      <c r="E119" s="3"/>
      <c r="F119" s="3"/>
      <c r="G119" s="3"/>
      <c r="H119" s="3"/>
      <c r="I119" s="3"/>
      <c r="J119" s="3"/>
      <c r="K119" s="3"/>
      <c r="L119" s="3"/>
      <c r="M119" s="3"/>
      <c r="N119" s="3"/>
      <c r="O119" s="3"/>
      <c r="P119" s="3"/>
      <c r="Q119" s="3"/>
      <c r="R119" s="3"/>
      <c r="S119" s="3"/>
      <c r="T119" s="3"/>
    </row>
    <row r="120" spans="1:20" x14ac:dyDescent="0.35">
      <c r="A120" s="3"/>
      <c r="B120" s="3"/>
      <c r="C120" s="3"/>
      <c r="D120" s="3"/>
      <c r="E120" s="3"/>
      <c r="F120" s="3"/>
      <c r="G120" s="3"/>
      <c r="H120" s="3"/>
      <c r="I120" s="3"/>
      <c r="J120" s="3"/>
      <c r="K120" s="3"/>
      <c r="L120" s="3"/>
      <c r="M120" s="3"/>
      <c r="N120" s="3"/>
      <c r="O120" s="3"/>
      <c r="P120" s="3"/>
      <c r="Q120" s="3"/>
      <c r="R120" s="3"/>
      <c r="S120" s="3"/>
      <c r="T120" s="3"/>
    </row>
    <row r="121" spans="1:20" x14ac:dyDescent="0.35">
      <c r="A121" s="3"/>
      <c r="B121" s="3"/>
      <c r="C121" s="3"/>
      <c r="D121" s="3"/>
      <c r="E121" s="3"/>
      <c r="F121" s="3"/>
      <c r="G121" s="3"/>
      <c r="H121" s="3"/>
      <c r="I121" s="3"/>
      <c r="J121" s="3"/>
      <c r="K121" s="3"/>
      <c r="L121" s="3"/>
      <c r="M121" s="3"/>
      <c r="N121" s="3"/>
      <c r="O121" s="3"/>
      <c r="P121" s="3"/>
      <c r="Q121" s="3"/>
      <c r="R121" s="3"/>
      <c r="S121" s="3"/>
      <c r="T121" s="3"/>
    </row>
    <row r="122" spans="1:20" x14ac:dyDescent="0.35">
      <c r="A122" s="3"/>
      <c r="B122" s="3"/>
      <c r="C122" s="3"/>
      <c r="D122" s="3"/>
      <c r="E122" s="3"/>
      <c r="F122" s="3"/>
      <c r="G122" s="3"/>
      <c r="H122" s="3"/>
      <c r="I122" s="3"/>
      <c r="J122" s="3"/>
      <c r="K122" s="3"/>
      <c r="L122" s="3"/>
      <c r="M122" s="3"/>
      <c r="N122" s="3"/>
      <c r="O122" s="3"/>
      <c r="P122" s="3"/>
      <c r="Q122" s="3"/>
      <c r="R122" s="3"/>
      <c r="S122" s="3"/>
      <c r="T122" s="3"/>
    </row>
    <row r="123" spans="1:20" x14ac:dyDescent="0.35">
      <c r="A123" s="3"/>
      <c r="B123" s="3"/>
      <c r="C123" s="3"/>
      <c r="D123" s="3"/>
      <c r="E123" s="3"/>
      <c r="F123" s="3"/>
      <c r="G123" s="3"/>
      <c r="H123" s="3"/>
      <c r="I123" s="3"/>
      <c r="J123" s="3"/>
      <c r="K123" s="3"/>
      <c r="L123" s="3"/>
      <c r="M123" s="3"/>
      <c r="N123" s="3"/>
      <c r="O123" s="3"/>
      <c r="P123" s="3"/>
      <c r="Q123" s="3"/>
      <c r="R123" s="3"/>
      <c r="S123" s="3"/>
      <c r="T123" s="3"/>
    </row>
    <row r="124" spans="1:20" x14ac:dyDescent="0.35">
      <c r="A124" s="3"/>
      <c r="B124" s="3"/>
      <c r="C124" s="3"/>
      <c r="D124" s="3"/>
      <c r="E124" s="3"/>
      <c r="F124" s="3"/>
      <c r="G124" s="3"/>
      <c r="H124" s="3"/>
      <c r="I124" s="3"/>
      <c r="J124" s="3"/>
      <c r="K124" s="3"/>
      <c r="L124" s="3"/>
      <c r="M124" s="3"/>
      <c r="N124" s="3"/>
      <c r="O124" s="3"/>
      <c r="P124" s="3"/>
      <c r="Q124" s="3"/>
      <c r="R124" s="3"/>
      <c r="S124" s="3"/>
      <c r="T124" s="3"/>
    </row>
    <row r="125" spans="1:20" x14ac:dyDescent="0.35">
      <c r="A125" s="3"/>
      <c r="B125" s="3"/>
      <c r="C125" s="3"/>
      <c r="D125" s="3"/>
      <c r="E125" s="3"/>
      <c r="F125" s="3"/>
      <c r="G125" s="3"/>
      <c r="H125" s="3"/>
      <c r="I125" s="3"/>
      <c r="J125" s="3"/>
      <c r="K125" s="3"/>
      <c r="L125" s="3"/>
      <c r="M125" s="3"/>
      <c r="N125" s="3"/>
      <c r="O125" s="3"/>
      <c r="P125" s="3"/>
      <c r="Q125" s="3"/>
      <c r="R125" s="3"/>
      <c r="S125" s="3"/>
      <c r="T125" s="3"/>
    </row>
    <row r="126" spans="1:20" x14ac:dyDescent="0.35">
      <c r="A126" s="3"/>
      <c r="B126" s="3"/>
      <c r="C126" s="3"/>
      <c r="D126" s="3"/>
      <c r="E126" s="3"/>
      <c r="F126" s="3"/>
      <c r="G126" s="3"/>
      <c r="H126" s="3"/>
      <c r="I126" s="3"/>
      <c r="J126" s="3"/>
      <c r="K126" s="3"/>
      <c r="L126" s="3"/>
      <c r="M126" s="3"/>
      <c r="N126" s="3"/>
      <c r="O126" s="3"/>
      <c r="P126" s="3"/>
      <c r="Q126" s="3"/>
      <c r="R126" s="3"/>
      <c r="S126" s="3"/>
      <c r="T126" s="3"/>
    </row>
    <row r="127" spans="1:20" x14ac:dyDescent="0.35">
      <c r="A127" s="3"/>
      <c r="B127" s="3"/>
      <c r="C127" s="3"/>
      <c r="D127" s="3"/>
      <c r="E127" s="3"/>
      <c r="F127" s="3"/>
      <c r="G127" s="3"/>
      <c r="H127" s="3"/>
      <c r="I127" s="3"/>
      <c r="J127" s="3"/>
      <c r="K127" s="3"/>
      <c r="L127" s="3"/>
      <c r="M127" s="3"/>
      <c r="N127" s="3"/>
      <c r="O127" s="3"/>
      <c r="P127" s="3"/>
      <c r="Q127" s="3"/>
      <c r="R127" s="3"/>
      <c r="S127" s="3"/>
      <c r="T127" s="3"/>
    </row>
    <row r="128" spans="1:20" x14ac:dyDescent="0.35">
      <c r="A128" s="3"/>
      <c r="B128" s="3"/>
      <c r="C128" s="3"/>
      <c r="D128" s="3"/>
      <c r="E128" s="3"/>
      <c r="F128" s="3"/>
      <c r="G128" s="3"/>
      <c r="H128" s="3"/>
      <c r="I128" s="3"/>
      <c r="J128" s="3"/>
      <c r="K128" s="3"/>
      <c r="L128" s="3"/>
      <c r="M128" s="3"/>
      <c r="N128" s="3"/>
      <c r="O128" s="3"/>
      <c r="P128" s="3"/>
      <c r="Q128" s="3"/>
      <c r="R128" s="3"/>
      <c r="S128" s="3"/>
      <c r="T128" s="3"/>
    </row>
    <row r="129" spans="1:20" x14ac:dyDescent="0.35">
      <c r="A129" s="3"/>
      <c r="B129" s="3"/>
      <c r="C129" s="3"/>
      <c r="D129" s="3"/>
      <c r="E129" s="3"/>
      <c r="F129" s="3"/>
      <c r="G129" s="3"/>
      <c r="H129" s="3"/>
      <c r="I129" s="3"/>
      <c r="J129" s="3"/>
      <c r="K129" s="3"/>
      <c r="L129" s="3"/>
      <c r="M129" s="3"/>
      <c r="N129" s="3"/>
      <c r="O129" s="3"/>
      <c r="P129" s="3"/>
      <c r="Q129" s="3"/>
      <c r="R129" s="3"/>
      <c r="S129" s="3"/>
      <c r="T129" s="3"/>
    </row>
    <row r="130" spans="1:20" x14ac:dyDescent="0.35">
      <c r="A130" s="3"/>
      <c r="B130" s="3"/>
      <c r="C130" s="3"/>
      <c r="D130" s="3"/>
      <c r="E130" s="3"/>
      <c r="F130" s="3"/>
      <c r="G130" s="3"/>
      <c r="H130" s="3"/>
      <c r="I130" s="3"/>
      <c r="J130" s="3"/>
      <c r="K130" s="3"/>
      <c r="L130" s="3"/>
      <c r="M130" s="3"/>
      <c r="N130" s="3"/>
      <c r="O130" s="3"/>
      <c r="P130" s="3"/>
      <c r="Q130" s="3"/>
      <c r="R130" s="3"/>
      <c r="S130" s="3"/>
      <c r="T130" s="3"/>
    </row>
    <row r="131" spans="1:20" x14ac:dyDescent="0.35">
      <c r="A131" s="3"/>
      <c r="B131" s="3"/>
      <c r="C131" s="3"/>
      <c r="D131" s="3"/>
      <c r="E131" s="3"/>
      <c r="F131" s="3"/>
      <c r="G131" s="3"/>
      <c r="H131" s="3"/>
      <c r="I131" s="3"/>
      <c r="J131" s="3"/>
      <c r="K131" s="3"/>
      <c r="L131" s="3"/>
      <c r="M131" s="3"/>
      <c r="N131" s="3"/>
      <c r="O131" s="3"/>
      <c r="P131" s="3"/>
      <c r="Q131" s="3"/>
      <c r="R131" s="3"/>
      <c r="S131" s="3"/>
      <c r="T131" s="3"/>
    </row>
    <row r="132" spans="1:20" x14ac:dyDescent="0.35">
      <c r="A132" s="3"/>
      <c r="B132" s="3"/>
      <c r="C132" s="3"/>
      <c r="D132" s="3"/>
      <c r="E132" s="3"/>
      <c r="F132" s="3"/>
      <c r="G132" s="3"/>
      <c r="H132" s="3"/>
      <c r="I132" s="3"/>
      <c r="J132" s="3"/>
      <c r="K132" s="3"/>
      <c r="L132" s="3"/>
      <c r="M132" s="3"/>
      <c r="N132" s="3"/>
      <c r="O132" s="3"/>
      <c r="P132" s="3"/>
      <c r="Q132" s="3"/>
      <c r="R132" s="3"/>
      <c r="S132" s="3"/>
      <c r="T132" s="3"/>
    </row>
    <row r="133" spans="1:20" x14ac:dyDescent="0.35">
      <c r="A133" s="3"/>
      <c r="B133" s="3"/>
      <c r="C133" s="3"/>
      <c r="D133" s="3"/>
      <c r="E133" s="3"/>
      <c r="F133" s="3"/>
      <c r="G133" s="3"/>
      <c r="H133" s="3"/>
      <c r="I133" s="3"/>
      <c r="J133" s="3"/>
      <c r="K133" s="3"/>
      <c r="L133" s="3"/>
      <c r="M133" s="3"/>
      <c r="N133" s="3"/>
      <c r="O133" s="3"/>
      <c r="P133" s="3"/>
      <c r="Q133" s="3"/>
      <c r="R133" s="3"/>
      <c r="S133" s="3"/>
      <c r="T133" s="3"/>
    </row>
    <row r="134" spans="1:20" x14ac:dyDescent="0.35">
      <c r="A134" s="3"/>
      <c r="B134" s="3"/>
      <c r="C134" s="3"/>
      <c r="D134" s="3"/>
      <c r="E134" s="3"/>
      <c r="F134" s="3"/>
      <c r="G134" s="3"/>
      <c r="H134" s="3"/>
      <c r="I134" s="3"/>
      <c r="J134" s="3"/>
      <c r="K134" s="3"/>
      <c r="L134" s="3"/>
      <c r="M134" s="3"/>
      <c r="N134" s="3"/>
      <c r="O134" s="3"/>
      <c r="P134" s="3"/>
      <c r="Q134" s="3"/>
      <c r="R134" s="3"/>
      <c r="S134" s="3"/>
      <c r="T134" s="3"/>
    </row>
    <row r="135" spans="1:20" x14ac:dyDescent="0.35">
      <c r="A135" s="3"/>
      <c r="B135" s="3"/>
      <c r="C135" s="3"/>
      <c r="D135" s="3"/>
      <c r="E135" s="3"/>
      <c r="F135" s="3"/>
      <c r="G135" s="3"/>
      <c r="H135" s="3"/>
      <c r="I135" s="3"/>
      <c r="J135" s="3"/>
      <c r="K135" s="3"/>
      <c r="L135" s="3"/>
      <c r="M135" s="3"/>
      <c r="N135" s="3"/>
      <c r="O135" s="3"/>
      <c r="P135" s="3"/>
      <c r="Q135" s="3"/>
      <c r="R135" s="3"/>
      <c r="S135" s="3"/>
      <c r="T135" s="3"/>
    </row>
    <row r="136" spans="1:20" x14ac:dyDescent="0.35">
      <c r="A136" s="3"/>
      <c r="B136" s="3"/>
      <c r="C136" s="3"/>
      <c r="D136" s="3"/>
      <c r="E136" s="3"/>
      <c r="F136" s="3"/>
      <c r="G136" s="3"/>
      <c r="H136" s="3"/>
      <c r="I136" s="3"/>
      <c r="J136" s="3"/>
      <c r="K136" s="3"/>
      <c r="L136" s="3"/>
      <c r="M136" s="3"/>
      <c r="N136" s="3"/>
      <c r="O136" s="3"/>
      <c r="P136" s="3"/>
      <c r="Q136" s="3"/>
      <c r="R136" s="3"/>
      <c r="S136" s="3"/>
      <c r="T136" s="3"/>
    </row>
    <row r="137" spans="1:20" x14ac:dyDescent="0.35">
      <c r="A137" s="3"/>
      <c r="B137" s="3"/>
      <c r="C137" s="3"/>
      <c r="D137" s="3"/>
      <c r="E137" s="3"/>
      <c r="F137" s="3"/>
      <c r="G137" s="3"/>
      <c r="H137" s="3"/>
      <c r="I137" s="3"/>
      <c r="J137" s="3"/>
      <c r="K137" s="3"/>
      <c r="L137" s="3"/>
      <c r="M137" s="3"/>
      <c r="N137" s="3"/>
      <c r="O137" s="3"/>
      <c r="P137" s="3"/>
      <c r="Q137" s="3"/>
      <c r="R137" s="3"/>
      <c r="S137" s="3"/>
      <c r="T137" s="3"/>
    </row>
    <row r="138" spans="1:20" x14ac:dyDescent="0.35">
      <c r="A138" s="3"/>
      <c r="B138" s="3"/>
      <c r="C138" s="3"/>
      <c r="D138" s="3"/>
      <c r="E138" s="3"/>
      <c r="F138" s="3"/>
      <c r="G138" s="3"/>
      <c r="H138" s="3"/>
      <c r="I138" s="3"/>
      <c r="J138" s="3"/>
      <c r="K138" s="3"/>
      <c r="L138" s="3"/>
      <c r="M138" s="3"/>
      <c r="N138" s="3"/>
      <c r="O138" s="3"/>
      <c r="P138" s="3"/>
      <c r="Q138" s="3"/>
      <c r="R138" s="3"/>
      <c r="S138" s="3"/>
      <c r="T138" s="3"/>
    </row>
    <row r="139" spans="1:20" x14ac:dyDescent="0.35">
      <c r="A139" s="3"/>
      <c r="B139" s="3"/>
      <c r="C139" s="3"/>
      <c r="D139" s="3"/>
      <c r="E139" s="3"/>
      <c r="F139" s="3"/>
      <c r="G139" s="3"/>
      <c r="H139" s="3"/>
      <c r="I139" s="3"/>
      <c r="J139" s="3"/>
      <c r="K139" s="3"/>
      <c r="L139" s="3"/>
      <c r="M139" s="3"/>
      <c r="N139" s="3"/>
      <c r="O139" s="3"/>
      <c r="P139" s="3"/>
      <c r="Q139" s="3"/>
      <c r="R139" s="3"/>
      <c r="S139" s="3"/>
      <c r="T139" s="3"/>
    </row>
    <row r="140" spans="1:20" x14ac:dyDescent="0.35">
      <c r="A140" s="3"/>
      <c r="B140" s="3"/>
      <c r="C140" s="3"/>
      <c r="D140" s="3"/>
      <c r="E140" s="3"/>
      <c r="F140" s="3"/>
      <c r="G140" s="3"/>
      <c r="H140" s="3"/>
      <c r="I140" s="3"/>
      <c r="J140" s="3"/>
      <c r="K140" s="3"/>
      <c r="L140" s="3"/>
      <c r="M140" s="3"/>
      <c r="N140" s="3"/>
      <c r="O140" s="3"/>
      <c r="P140" s="3"/>
      <c r="Q140" s="3"/>
      <c r="R140" s="3"/>
      <c r="S140" s="3"/>
      <c r="T140" s="3"/>
    </row>
    <row r="141" spans="1:20" x14ac:dyDescent="0.35">
      <c r="A141" s="3"/>
      <c r="B141" s="3"/>
      <c r="C141" s="3"/>
      <c r="D141" s="3"/>
      <c r="E141" s="3"/>
      <c r="F141" s="3"/>
      <c r="G141" s="3"/>
      <c r="H141" s="3"/>
      <c r="I141" s="3"/>
      <c r="J141" s="3"/>
      <c r="K141" s="3"/>
      <c r="L141" s="3"/>
      <c r="M141" s="3"/>
      <c r="N141" s="3"/>
      <c r="O141" s="3"/>
      <c r="P141" s="3"/>
      <c r="Q141" s="3"/>
      <c r="R141" s="3"/>
      <c r="S141" s="3"/>
      <c r="T141" s="3"/>
    </row>
    <row r="142" spans="1:20" x14ac:dyDescent="0.35">
      <c r="A142" s="3"/>
      <c r="B142" s="3"/>
      <c r="C142" s="3"/>
      <c r="D142" s="3"/>
      <c r="E142" s="3"/>
      <c r="F142" s="3"/>
      <c r="G142" s="3"/>
      <c r="H142" s="3"/>
      <c r="I142" s="3"/>
      <c r="J142" s="3"/>
      <c r="K142" s="3"/>
      <c r="L142" s="3"/>
      <c r="M142" s="3"/>
      <c r="N142" s="3"/>
      <c r="O142" s="3"/>
      <c r="P142" s="3"/>
      <c r="Q142" s="3"/>
      <c r="R142" s="3"/>
      <c r="S142" s="3"/>
      <c r="T142" s="3"/>
    </row>
    <row r="143" spans="1:20" x14ac:dyDescent="0.35">
      <c r="A143" s="3"/>
      <c r="B143" s="3"/>
      <c r="C143" s="3"/>
      <c r="D143" s="3"/>
      <c r="E143" s="3"/>
      <c r="F143" s="3"/>
      <c r="G143" s="3"/>
      <c r="H143" s="3"/>
      <c r="I143" s="3"/>
      <c r="J143" s="3"/>
      <c r="K143" s="3"/>
      <c r="L143" s="3"/>
      <c r="M143" s="3"/>
      <c r="N143" s="3"/>
      <c r="O143" s="3"/>
      <c r="P143" s="3"/>
      <c r="Q143" s="3"/>
      <c r="R143" s="3"/>
      <c r="S143" s="3"/>
      <c r="T143" s="3"/>
    </row>
    <row r="144" spans="1:20" x14ac:dyDescent="0.35">
      <c r="A144" s="3"/>
      <c r="B144" s="3"/>
      <c r="C144" s="3"/>
      <c r="D144" s="3"/>
      <c r="E144" s="3"/>
      <c r="F144" s="3"/>
      <c r="G144" s="3"/>
      <c r="H144" s="3"/>
      <c r="I144" s="3"/>
      <c r="J144" s="3"/>
      <c r="K144" s="3"/>
      <c r="L144" s="3"/>
      <c r="M144" s="3"/>
      <c r="N144" s="3"/>
      <c r="O144" s="3"/>
      <c r="P144" s="3"/>
      <c r="Q144" s="3"/>
      <c r="R144" s="3"/>
      <c r="S144" s="3"/>
      <c r="T144" s="3"/>
    </row>
    <row r="145" spans="1:20" x14ac:dyDescent="0.35">
      <c r="A145" s="3"/>
      <c r="B145" s="3"/>
      <c r="C145" s="3"/>
      <c r="D145" s="3"/>
      <c r="E145" s="3"/>
      <c r="F145" s="3"/>
      <c r="G145" s="3"/>
      <c r="H145" s="3"/>
      <c r="I145" s="3"/>
      <c r="J145" s="3"/>
      <c r="K145" s="3"/>
      <c r="L145" s="3"/>
      <c r="M145" s="3"/>
      <c r="N145" s="3"/>
      <c r="O145" s="3"/>
      <c r="P145" s="3"/>
      <c r="Q145" s="3"/>
      <c r="R145" s="3"/>
      <c r="S145" s="3"/>
      <c r="T145" s="3"/>
    </row>
    <row r="146" spans="1:20" x14ac:dyDescent="0.35">
      <c r="A146" s="3"/>
      <c r="B146" s="3"/>
      <c r="C146" s="3"/>
      <c r="D146" s="3"/>
      <c r="E146" s="3"/>
      <c r="F146" s="3"/>
      <c r="G146" s="3"/>
      <c r="H146" s="3"/>
      <c r="I146" s="3"/>
      <c r="J146" s="3"/>
      <c r="K146" s="3"/>
      <c r="L146" s="3"/>
      <c r="M146" s="3"/>
      <c r="N146" s="3"/>
      <c r="O146" s="3"/>
      <c r="P146" s="3"/>
      <c r="Q146" s="3"/>
      <c r="R146" s="3"/>
      <c r="S146" s="3"/>
      <c r="T146" s="3"/>
    </row>
    <row r="147" spans="1:20" x14ac:dyDescent="0.35">
      <c r="A147" s="3"/>
      <c r="B147" s="3"/>
      <c r="C147" s="3"/>
      <c r="D147" s="3"/>
      <c r="E147" s="3"/>
      <c r="F147" s="3"/>
      <c r="G147" s="3"/>
      <c r="H147" s="3"/>
      <c r="I147" s="3"/>
      <c r="J147" s="3"/>
      <c r="K147" s="3"/>
      <c r="L147" s="3"/>
      <c r="M147" s="3"/>
      <c r="N147" s="3"/>
      <c r="O147" s="3"/>
      <c r="P147" s="3"/>
      <c r="Q147" s="3"/>
      <c r="R147" s="3"/>
      <c r="S147" s="3"/>
      <c r="T147" s="3"/>
    </row>
    <row r="148" spans="1:20" x14ac:dyDescent="0.35">
      <c r="A148" s="3"/>
      <c r="B148" s="3"/>
      <c r="C148" s="3"/>
      <c r="D148" s="3"/>
      <c r="E148" s="3"/>
      <c r="F148" s="3"/>
      <c r="G148" s="3"/>
      <c r="H148" s="3"/>
      <c r="I148" s="3"/>
      <c r="J148" s="3"/>
      <c r="K148" s="3"/>
      <c r="L148" s="3"/>
      <c r="M148" s="3"/>
      <c r="N148" s="3"/>
      <c r="O148" s="3"/>
      <c r="P148" s="3"/>
      <c r="Q148" s="3"/>
      <c r="R148" s="3"/>
      <c r="S148" s="3"/>
      <c r="T148" s="3"/>
    </row>
    <row r="149" spans="1:20" x14ac:dyDescent="0.35">
      <c r="A149" s="3"/>
      <c r="B149" s="3"/>
      <c r="C149" s="3"/>
      <c r="D149" s="3"/>
      <c r="E149" s="3"/>
      <c r="F149" s="3"/>
      <c r="G149" s="3"/>
      <c r="H149" s="3"/>
      <c r="I149" s="3"/>
      <c r="J149" s="3"/>
      <c r="K149" s="3"/>
      <c r="L149" s="3"/>
      <c r="M149" s="3"/>
      <c r="N149" s="3"/>
      <c r="O149" s="3"/>
      <c r="P149" s="3"/>
      <c r="Q149" s="3"/>
      <c r="R149" s="3"/>
      <c r="S149" s="3"/>
      <c r="T149" s="3"/>
    </row>
    <row r="150" spans="1:20" x14ac:dyDescent="0.35">
      <c r="A150" s="3"/>
      <c r="B150" s="3"/>
      <c r="C150" s="3"/>
      <c r="D150" s="3"/>
      <c r="E150" s="3"/>
      <c r="F150" s="3"/>
      <c r="G150" s="3"/>
      <c r="H150" s="3"/>
      <c r="I150" s="3"/>
      <c r="J150" s="3"/>
      <c r="K150" s="3"/>
      <c r="L150" s="3"/>
      <c r="M150" s="3"/>
      <c r="N150" s="3"/>
      <c r="O150" s="3"/>
      <c r="P150" s="3"/>
      <c r="Q150" s="3"/>
      <c r="R150" s="3"/>
      <c r="S150" s="3"/>
      <c r="T150" s="3"/>
    </row>
    <row r="151" spans="1:20" x14ac:dyDescent="0.35">
      <c r="A151" s="3"/>
      <c r="B151" s="3"/>
      <c r="C151" s="3"/>
      <c r="D151" s="3"/>
      <c r="E151" s="3"/>
      <c r="F151" s="3"/>
      <c r="G151" s="3"/>
      <c r="H151" s="3"/>
      <c r="I151" s="3"/>
      <c r="J151" s="3"/>
      <c r="K151" s="3"/>
      <c r="L151" s="3"/>
      <c r="M151" s="3"/>
      <c r="N151" s="3"/>
      <c r="O151" s="3"/>
      <c r="P151" s="3"/>
      <c r="Q151" s="3"/>
      <c r="R151" s="3"/>
      <c r="S151" s="3"/>
      <c r="T151" s="3"/>
    </row>
    <row r="152" spans="1:20" x14ac:dyDescent="0.35">
      <c r="A152" s="3"/>
      <c r="B152" s="3"/>
      <c r="C152" s="3"/>
      <c r="D152" s="3"/>
      <c r="E152" s="3"/>
      <c r="F152" s="3"/>
      <c r="G152" s="3"/>
      <c r="H152" s="3"/>
      <c r="I152" s="3"/>
      <c r="J152" s="3"/>
      <c r="K152" s="3"/>
      <c r="L152" s="3"/>
      <c r="M152" s="3"/>
      <c r="N152" s="3"/>
      <c r="O152" s="3"/>
      <c r="P152" s="3"/>
      <c r="Q152" s="3"/>
      <c r="R152" s="3"/>
      <c r="S152" s="3"/>
      <c r="T152" s="3"/>
    </row>
    <row r="153" spans="1:20" x14ac:dyDescent="0.35">
      <c r="A153" s="3"/>
      <c r="B153" s="3"/>
      <c r="C153" s="3"/>
      <c r="D153" s="3"/>
      <c r="E153" s="3"/>
      <c r="F153" s="3"/>
      <c r="G153" s="3"/>
      <c r="H153" s="3"/>
      <c r="I153" s="3"/>
      <c r="J153" s="3"/>
      <c r="K153" s="3"/>
      <c r="L153" s="3"/>
      <c r="M153" s="3"/>
      <c r="N153" s="3"/>
      <c r="O153" s="3"/>
      <c r="P153" s="3"/>
      <c r="Q153" s="3"/>
      <c r="R153" s="3"/>
      <c r="S153" s="3"/>
      <c r="T153" s="3"/>
    </row>
    <row r="154" spans="1:20" x14ac:dyDescent="0.35">
      <c r="A154" s="3"/>
      <c r="B154" s="3"/>
      <c r="C154" s="3"/>
      <c r="D154" s="3"/>
      <c r="E154" s="3"/>
      <c r="F154" s="3"/>
      <c r="G154" s="3"/>
      <c r="H154" s="3"/>
      <c r="I154" s="3"/>
      <c r="J154" s="3"/>
      <c r="K154" s="3"/>
      <c r="L154" s="3"/>
      <c r="M154" s="3"/>
      <c r="N154" s="3"/>
      <c r="O154" s="3"/>
      <c r="P154" s="3"/>
      <c r="Q154" s="3"/>
      <c r="R154" s="3"/>
      <c r="S154" s="3"/>
      <c r="T154" s="3"/>
    </row>
    <row r="155" spans="1:20" x14ac:dyDescent="0.35">
      <c r="A155" s="3"/>
      <c r="B155" s="3"/>
      <c r="C155" s="3"/>
      <c r="D155" s="3"/>
      <c r="E155" s="3"/>
      <c r="F155" s="3"/>
      <c r="G155" s="3"/>
      <c r="H155" s="3"/>
      <c r="I155" s="3"/>
      <c r="J155" s="3"/>
      <c r="K155" s="3"/>
      <c r="L155" s="3"/>
      <c r="M155" s="3"/>
      <c r="N155" s="3"/>
      <c r="O155" s="3"/>
      <c r="P155" s="3"/>
      <c r="Q155" s="3"/>
      <c r="R155" s="3"/>
      <c r="S155" s="3"/>
      <c r="T155" s="3"/>
    </row>
    <row r="156" spans="1:20" x14ac:dyDescent="0.35">
      <c r="A156" s="3"/>
      <c r="B156" s="3"/>
      <c r="C156" s="3"/>
      <c r="D156" s="3"/>
      <c r="E156" s="3"/>
      <c r="F156" s="3"/>
      <c r="G156" s="3"/>
      <c r="H156" s="3"/>
      <c r="I156" s="3"/>
      <c r="J156" s="3"/>
      <c r="K156" s="3"/>
      <c r="L156" s="3"/>
      <c r="M156" s="3"/>
      <c r="N156" s="3"/>
      <c r="O156" s="3"/>
      <c r="P156" s="3"/>
      <c r="Q156" s="3"/>
      <c r="R156" s="3"/>
      <c r="S156" s="3"/>
      <c r="T156" s="3"/>
    </row>
    <row r="157" spans="1:20" x14ac:dyDescent="0.35">
      <c r="A157" s="3"/>
      <c r="B157" s="3"/>
      <c r="C157" s="3"/>
      <c r="D157" s="3"/>
      <c r="E157" s="3"/>
      <c r="F157" s="3"/>
      <c r="G157" s="3"/>
      <c r="H157" s="3"/>
      <c r="I157" s="3"/>
      <c r="J157" s="3"/>
      <c r="K157" s="3"/>
      <c r="L157" s="3"/>
      <c r="M157" s="3"/>
      <c r="N157" s="3"/>
      <c r="O157" s="3"/>
      <c r="P157" s="3"/>
      <c r="Q157" s="3"/>
      <c r="R157" s="3"/>
      <c r="S157" s="3"/>
      <c r="T157" s="3"/>
    </row>
    <row r="158" spans="1:20" x14ac:dyDescent="0.35">
      <c r="A158" s="3"/>
      <c r="B158" s="3"/>
      <c r="C158" s="3"/>
      <c r="D158" s="3"/>
      <c r="E158" s="3"/>
      <c r="F158" s="3"/>
      <c r="G158" s="3"/>
      <c r="H158" s="3"/>
      <c r="I158" s="3"/>
      <c r="J158" s="3"/>
      <c r="K158" s="3"/>
      <c r="L158" s="3"/>
      <c r="M158" s="3"/>
      <c r="N158" s="3"/>
      <c r="O158" s="3"/>
      <c r="P158" s="3"/>
      <c r="Q158" s="3"/>
      <c r="R158" s="3"/>
      <c r="S158" s="3"/>
      <c r="T158" s="3"/>
    </row>
    <row r="159" spans="1:20" x14ac:dyDescent="0.35">
      <c r="A159" s="3"/>
      <c r="B159" s="3"/>
      <c r="C159" s="3"/>
      <c r="D159" s="3"/>
      <c r="E159" s="3"/>
      <c r="F159" s="3"/>
      <c r="G159" s="3"/>
      <c r="H159" s="3"/>
      <c r="I159" s="3"/>
      <c r="J159" s="3"/>
      <c r="K159" s="3"/>
      <c r="L159" s="3"/>
      <c r="M159" s="3"/>
      <c r="N159" s="3"/>
      <c r="O159" s="3"/>
      <c r="P159" s="3"/>
      <c r="Q159" s="3"/>
      <c r="R159" s="3"/>
      <c r="S159" s="3"/>
      <c r="T159" s="3"/>
    </row>
    <row r="160" spans="1:20" x14ac:dyDescent="0.35">
      <c r="A160" s="3"/>
      <c r="B160" s="3"/>
      <c r="C160" s="3"/>
      <c r="D160" s="3"/>
      <c r="E160" s="3"/>
      <c r="F160" s="3"/>
      <c r="G160" s="3"/>
      <c r="H160" s="3"/>
      <c r="I160" s="3"/>
      <c r="J160" s="3"/>
      <c r="K160" s="3"/>
      <c r="L160" s="3"/>
      <c r="M160" s="3"/>
      <c r="N160" s="3"/>
      <c r="O160" s="3"/>
      <c r="P160" s="3"/>
      <c r="Q160" s="3"/>
      <c r="R160" s="3"/>
      <c r="S160" s="3"/>
      <c r="T160" s="3"/>
    </row>
    <row r="161" spans="1:20" x14ac:dyDescent="0.35">
      <c r="A161" s="3"/>
      <c r="B161" s="3"/>
      <c r="C161" s="3"/>
      <c r="D161" s="3"/>
      <c r="E161" s="3"/>
      <c r="F161" s="3"/>
      <c r="G161" s="3"/>
      <c r="H161" s="3"/>
      <c r="I161" s="3"/>
      <c r="J161" s="3"/>
      <c r="K161" s="3"/>
      <c r="L161" s="3"/>
      <c r="M161" s="3"/>
      <c r="N161" s="3"/>
      <c r="O161" s="3"/>
      <c r="P161" s="3"/>
      <c r="Q161" s="3"/>
      <c r="R161" s="3"/>
      <c r="S161" s="3"/>
      <c r="T161" s="3"/>
    </row>
    <row r="162" spans="1:20" x14ac:dyDescent="0.35">
      <c r="A162" s="3"/>
      <c r="B162" s="3"/>
      <c r="C162" s="3"/>
      <c r="D162" s="3"/>
      <c r="E162" s="3"/>
      <c r="F162" s="3"/>
      <c r="G162" s="3"/>
      <c r="H162" s="3"/>
      <c r="I162" s="3"/>
      <c r="J162" s="3"/>
      <c r="K162" s="3"/>
      <c r="L162" s="3"/>
      <c r="M162" s="3"/>
      <c r="N162" s="3"/>
      <c r="O162" s="3"/>
      <c r="P162" s="3"/>
      <c r="Q162" s="3"/>
      <c r="R162" s="3"/>
      <c r="S162" s="3"/>
      <c r="T162" s="3"/>
    </row>
    <row r="163" spans="1:20" x14ac:dyDescent="0.35">
      <c r="A163" s="3"/>
      <c r="B163" s="3"/>
      <c r="C163" s="3"/>
      <c r="D163" s="3"/>
      <c r="E163" s="3"/>
      <c r="F163" s="3"/>
      <c r="G163" s="3"/>
      <c r="H163" s="3"/>
      <c r="I163" s="3"/>
      <c r="J163" s="3"/>
      <c r="K163" s="3"/>
      <c r="L163" s="3"/>
      <c r="M163" s="3"/>
      <c r="N163" s="3"/>
      <c r="O163" s="3"/>
      <c r="P163" s="3"/>
      <c r="Q163" s="3"/>
      <c r="R163" s="3"/>
      <c r="S163" s="3"/>
      <c r="T163" s="3"/>
    </row>
    <row r="164" spans="1:20" x14ac:dyDescent="0.35">
      <c r="A164" s="3"/>
      <c r="B164" s="3"/>
      <c r="C164" s="3"/>
      <c r="D164" s="3"/>
      <c r="E164" s="3"/>
      <c r="F164" s="3"/>
      <c r="G164" s="3"/>
      <c r="H164" s="3"/>
      <c r="I164" s="3"/>
      <c r="J164" s="3"/>
      <c r="K164" s="3"/>
      <c r="L164" s="3"/>
      <c r="M164" s="3"/>
      <c r="N164" s="3"/>
      <c r="O164" s="3"/>
      <c r="P164" s="3"/>
      <c r="Q164" s="3"/>
      <c r="R164" s="3"/>
      <c r="S164" s="3"/>
      <c r="T164" s="3"/>
    </row>
    <row r="165" spans="1:20" x14ac:dyDescent="0.35">
      <c r="A165" s="3"/>
      <c r="B165" s="3"/>
      <c r="C165" s="3"/>
      <c r="D165" s="3"/>
      <c r="E165" s="3"/>
      <c r="F165" s="3"/>
      <c r="G165" s="3"/>
      <c r="H165" s="3"/>
      <c r="I165" s="3"/>
      <c r="J165" s="3"/>
      <c r="K165" s="3"/>
      <c r="L165" s="3"/>
      <c r="M165" s="3"/>
      <c r="N165" s="3"/>
      <c r="O165" s="3"/>
      <c r="P165" s="3"/>
      <c r="Q165" s="3"/>
      <c r="R165" s="3"/>
      <c r="S165" s="3"/>
      <c r="T165" s="3"/>
    </row>
    <row r="166" spans="1:20" x14ac:dyDescent="0.35">
      <c r="A166" s="3"/>
      <c r="B166" s="3"/>
      <c r="C166" s="3"/>
      <c r="D166" s="3"/>
      <c r="E166" s="3"/>
      <c r="F166" s="3"/>
      <c r="G166" s="3"/>
      <c r="H166" s="3"/>
      <c r="I166" s="3"/>
      <c r="J166" s="3"/>
      <c r="K166" s="3"/>
      <c r="L166" s="3"/>
      <c r="M166" s="3"/>
      <c r="N166" s="3"/>
      <c r="O166" s="3"/>
      <c r="P166" s="3"/>
      <c r="Q166" s="3"/>
      <c r="R166" s="3"/>
      <c r="S166" s="3"/>
      <c r="T166" s="3"/>
    </row>
    <row r="167" spans="1:20" x14ac:dyDescent="0.35">
      <c r="A167" s="3"/>
      <c r="B167" s="3"/>
      <c r="C167" s="3"/>
      <c r="D167" s="3"/>
      <c r="E167" s="3"/>
      <c r="F167" s="3"/>
      <c r="G167" s="3"/>
      <c r="H167" s="3"/>
      <c r="I167" s="3"/>
      <c r="J167" s="3"/>
      <c r="K167" s="3"/>
      <c r="L167" s="3"/>
      <c r="M167" s="3"/>
      <c r="N167" s="3"/>
      <c r="O167" s="3"/>
      <c r="P167" s="3"/>
      <c r="Q167" s="3"/>
      <c r="R167" s="3"/>
      <c r="S167" s="3"/>
      <c r="T167" s="3"/>
    </row>
    <row r="168" spans="1:20" x14ac:dyDescent="0.35">
      <c r="A168" s="3"/>
      <c r="B168" s="3"/>
      <c r="C168" s="3"/>
      <c r="D168" s="3"/>
      <c r="E168" s="3"/>
      <c r="F168" s="3"/>
      <c r="G168" s="3"/>
      <c r="H168" s="3"/>
      <c r="I168" s="3"/>
      <c r="J168" s="3"/>
      <c r="K168" s="3"/>
      <c r="L168" s="3"/>
      <c r="M168" s="3"/>
      <c r="N168" s="3"/>
      <c r="O168" s="3"/>
      <c r="P168" s="3"/>
      <c r="Q168" s="3"/>
      <c r="R168" s="3"/>
      <c r="S168" s="3"/>
      <c r="T168" s="3"/>
    </row>
    <row r="169" spans="1:20" x14ac:dyDescent="0.35">
      <c r="A169" s="3"/>
      <c r="B169" s="3"/>
      <c r="C169" s="3"/>
      <c r="D169" s="3"/>
      <c r="E169" s="3"/>
      <c r="F169" s="3"/>
      <c r="G169" s="3"/>
      <c r="H169" s="3"/>
      <c r="I169" s="3"/>
      <c r="J169" s="3"/>
      <c r="K169" s="3"/>
      <c r="L169" s="3"/>
      <c r="M169" s="3"/>
      <c r="N169" s="3"/>
      <c r="O169" s="3"/>
      <c r="P169" s="3"/>
      <c r="Q169" s="3"/>
      <c r="R169" s="3"/>
      <c r="S169" s="3"/>
      <c r="T169" s="3"/>
    </row>
    <row r="170" spans="1:20" x14ac:dyDescent="0.35">
      <c r="A170" s="3"/>
      <c r="B170" s="3"/>
      <c r="C170" s="3"/>
      <c r="D170" s="3"/>
      <c r="E170" s="3"/>
      <c r="F170" s="3"/>
      <c r="G170" s="3"/>
      <c r="H170" s="3"/>
      <c r="I170" s="3"/>
      <c r="J170" s="3"/>
      <c r="K170" s="3"/>
      <c r="L170" s="3"/>
      <c r="M170" s="3"/>
      <c r="N170" s="3"/>
      <c r="O170" s="3"/>
      <c r="P170" s="3"/>
      <c r="Q170" s="3"/>
      <c r="R170" s="3"/>
      <c r="S170" s="3"/>
      <c r="T170" s="3"/>
    </row>
    <row r="171" spans="1:20" x14ac:dyDescent="0.35">
      <c r="A171" s="3"/>
      <c r="B171" s="3"/>
      <c r="C171" s="3"/>
      <c r="D171" s="3"/>
      <c r="E171" s="3"/>
      <c r="F171" s="3"/>
      <c r="G171" s="3"/>
      <c r="H171" s="3"/>
      <c r="I171" s="3"/>
      <c r="J171" s="3"/>
      <c r="K171" s="3"/>
      <c r="L171" s="3"/>
      <c r="M171" s="3"/>
      <c r="N171" s="3"/>
      <c r="O171" s="3"/>
      <c r="P171" s="3"/>
      <c r="Q171" s="3"/>
      <c r="R171" s="3"/>
      <c r="S171" s="3"/>
      <c r="T171" s="3"/>
    </row>
    <row r="172" spans="1:20" x14ac:dyDescent="0.35">
      <c r="A172" s="3"/>
      <c r="B172" s="3"/>
      <c r="C172" s="3"/>
      <c r="D172" s="3"/>
      <c r="E172" s="3"/>
      <c r="F172" s="3"/>
      <c r="G172" s="3"/>
      <c r="H172" s="3"/>
      <c r="I172" s="3"/>
      <c r="J172" s="3"/>
      <c r="K172" s="3"/>
      <c r="L172" s="3"/>
      <c r="M172" s="3"/>
      <c r="N172" s="3"/>
      <c r="O172" s="3"/>
      <c r="P172" s="3"/>
      <c r="Q172" s="3"/>
      <c r="R172" s="3"/>
      <c r="S172" s="3"/>
      <c r="T172" s="3"/>
    </row>
    <row r="173" spans="1:20" x14ac:dyDescent="0.35">
      <c r="A173" s="3"/>
      <c r="B173" s="3"/>
      <c r="C173" s="3"/>
      <c r="D173" s="3"/>
      <c r="E173" s="3"/>
      <c r="F173" s="3"/>
      <c r="G173" s="3"/>
      <c r="H173" s="3"/>
      <c r="I173" s="3"/>
      <c r="J173" s="3"/>
      <c r="K173" s="3"/>
      <c r="L173" s="3"/>
      <c r="M173" s="3"/>
      <c r="N173" s="3"/>
      <c r="O173" s="3"/>
      <c r="P173" s="3"/>
      <c r="Q173" s="3"/>
      <c r="R173" s="3"/>
      <c r="S173" s="3"/>
      <c r="T173" s="3"/>
    </row>
    <row r="174" spans="1:20" x14ac:dyDescent="0.35">
      <c r="A174" s="3"/>
      <c r="B174" s="3"/>
      <c r="C174" s="3"/>
      <c r="D174" s="3"/>
      <c r="E174" s="3"/>
      <c r="F174" s="3"/>
      <c r="G174" s="3"/>
      <c r="H174" s="3"/>
      <c r="I174" s="3"/>
      <c r="J174" s="3"/>
      <c r="K174" s="3"/>
      <c r="L174" s="3"/>
      <c r="M174" s="3"/>
      <c r="N174" s="3"/>
      <c r="O174" s="3"/>
      <c r="P174" s="3"/>
      <c r="Q174" s="3"/>
      <c r="R174" s="3"/>
      <c r="S174" s="3"/>
      <c r="T174" s="3"/>
    </row>
    <row r="175" spans="1:20" x14ac:dyDescent="0.35">
      <c r="A175" s="3"/>
      <c r="B175" s="3"/>
      <c r="C175" s="3"/>
      <c r="D175" s="3"/>
      <c r="E175" s="3"/>
      <c r="F175" s="3"/>
      <c r="G175" s="3"/>
      <c r="H175" s="3"/>
      <c r="I175" s="3"/>
      <c r="J175" s="3"/>
      <c r="K175" s="3"/>
      <c r="L175" s="3"/>
      <c r="M175" s="3"/>
      <c r="N175" s="3"/>
      <c r="O175" s="3"/>
      <c r="P175" s="3"/>
      <c r="Q175" s="3"/>
      <c r="R175" s="3"/>
      <c r="S175" s="3"/>
      <c r="T175" s="3"/>
    </row>
    <row r="176" spans="1:20" x14ac:dyDescent="0.35">
      <c r="A176" s="3"/>
      <c r="B176" s="3"/>
      <c r="C176" s="3"/>
      <c r="D176" s="3"/>
      <c r="E176" s="3"/>
      <c r="F176" s="3"/>
      <c r="G176" s="3"/>
      <c r="H176" s="3"/>
      <c r="I176" s="3"/>
      <c r="J176" s="3"/>
      <c r="K176" s="3"/>
      <c r="L176" s="3"/>
      <c r="M176" s="3"/>
      <c r="N176" s="3"/>
      <c r="O176" s="3"/>
      <c r="P176" s="3"/>
      <c r="Q176" s="3"/>
      <c r="R176" s="3"/>
      <c r="S176" s="3"/>
      <c r="T176" s="3"/>
    </row>
    <row r="177" spans="1:20" x14ac:dyDescent="0.35">
      <c r="A177" s="3"/>
      <c r="B177" s="3"/>
      <c r="C177" s="3"/>
      <c r="D177" s="3"/>
      <c r="E177" s="3"/>
      <c r="F177" s="3"/>
      <c r="G177" s="3"/>
      <c r="H177" s="3"/>
      <c r="I177" s="3"/>
      <c r="J177" s="3"/>
      <c r="K177" s="3"/>
      <c r="L177" s="3"/>
      <c r="M177" s="3"/>
      <c r="N177" s="3"/>
      <c r="O177" s="3"/>
      <c r="P177" s="3"/>
      <c r="Q177" s="3"/>
      <c r="R177" s="3"/>
      <c r="S177" s="3"/>
      <c r="T177" s="3"/>
    </row>
    <row r="178" spans="1:20" x14ac:dyDescent="0.35">
      <c r="A178" s="3"/>
      <c r="B178" s="3"/>
      <c r="C178" s="3"/>
      <c r="D178" s="3"/>
      <c r="E178" s="3"/>
      <c r="F178" s="3"/>
      <c r="G178" s="3"/>
      <c r="H178" s="3"/>
      <c r="I178" s="3"/>
      <c r="J178" s="3"/>
      <c r="K178" s="3"/>
      <c r="L178" s="3"/>
      <c r="M178" s="3"/>
      <c r="N178" s="3"/>
      <c r="O178" s="3"/>
      <c r="P178" s="3"/>
      <c r="Q178" s="3"/>
      <c r="R178" s="3"/>
      <c r="S178" s="3"/>
      <c r="T178" s="3"/>
    </row>
    <row r="179" spans="1:20" x14ac:dyDescent="0.35">
      <c r="A179" s="3"/>
      <c r="B179" s="3"/>
      <c r="C179" s="3"/>
      <c r="D179" s="3"/>
      <c r="E179" s="3"/>
      <c r="F179" s="3"/>
      <c r="G179" s="3"/>
      <c r="H179" s="3"/>
      <c r="I179" s="3"/>
      <c r="J179" s="3"/>
      <c r="K179" s="3"/>
      <c r="L179" s="3"/>
      <c r="M179" s="3"/>
      <c r="N179" s="3"/>
      <c r="O179" s="3"/>
      <c r="P179" s="3"/>
      <c r="Q179" s="3"/>
      <c r="R179" s="3"/>
      <c r="S179" s="3"/>
      <c r="T179" s="3"/>
    </row>
    <row r="180" spans="1:20" x14ac:dyDescent="0.35">
      <c r="A180" s="3"/>
      <c r="B180" s="3"/>
      <c r="C180" s="3"/>
      <c r="D180" s="3"/>
      <c r="E180" s="3"/>
      <c r="F180" s="3"/>
      <c r="G180" s="3"/>
      <c r="H180" s="3"/>
      <c r="I180" s="3"/>
      <c r="J180" s="3"/>
      <c r="K180" s="3"/>
      <c r="L180" s="3"/>
      <c r="M180" s="3"/>
      <c r="N180" s="3"/>
      <c r="O180" s="3"/>
      <c r="P180" s="3"/>
      <c r="Q180" s="3"/>
      <c r="R180" s="3"/>
      <c r="S180" s="3"/>
      <c r="T180" s="3"/>
    </row>
    <row r="181" spans="1:20" x14ac:dyDescent="0.35">
      <c r="A181" s="3"/>
      <c r="B181" s="3"/>
      <c r="C181" s="3"/>
      <c r="D181" s="3"/>
      <c r="E181" s="3"/>
      <c r="F181" s="3"/>
      <c r="G181" s="3"/>
      <c r="H181" s="3"/>
      <c r="I181" s="3"/>
      <c r="J181" s="3"/>
      <c r="K181" s="3"/>
      <c r="L181" s="3"/>
      <c r="M181" s="3"/>
      <c r="N181" s="3"/>
      <c r="O181" s="3"/>
      <c r="P181" s="3"/>
      <c r="Q181" s="3"/>
      <c r="R181" s="3"/>
      <c r="S181" s="3"/>
      <c r="T181" s="3"/>
    </row>
    <row r="182" spans="1:20" x14ac:dyDescent="0.35">
      <c r="A182" s="3"/>
      <c r="B182" s="3"/>
      <c r="C182" s="3"/>
      <c r="D182" s="3"/>
      <c r="E182" s="3"/>
      <c r="F182" s="3"/>
      <c r="G182" s="3"/>
      <c r="H182" s="3"/>
      <c r="I182" s="3"/>
      <c r="J182" s="3"/>
      <c r="K182" s="3"/>
      <c r="L182" s="3"/>
      <c r="M182" s="3"/>
      <c r="N182" s="3"/>
      <c r="O182" s="3"/>
      <c r="P182" s="3"/>
      <c r="Q182" s="3"/>
      <c r="R182" s="3"/>
      <c r="S182" s="3"/>
      <c r="T182" s="3"/>
    </row>
    <row r="183" spans="1:20" x14ac:dyDescent="0.35">
      <c r="A183" s="3"/>
      <c r="B183" s="3"/>
      <c r="C183" s="3"/>
      <c r="D183" s="3"/>
      <c r="E183" s="3"/>
      <c r="F183" s="3"/>
      <c r="G183" s="3"/>
      <c r="H183" s="3"/>
      <c r="I183" s="3"/>
      <c r="J183" s="3"/>
      <c r="K183" s="3"/>
      <c r="L183" s="3"/>
      <c r="M183" s="3"/>
      <c r="N183" s="3"/>
      <c r="O183" s="3"/>
      <c r="P183" s="3"/>
      <c r="Q183" s="3"/>
      <c r="R183" s="3"/>
      <c r="S183" s="3"/>
      <c r="T183" s="3"/>
    </row>
    <row r="184" spans="1:20" x14ac:dyDescent="0.35">
      <c r="A184" s="3"/>
      <c r="B184" s="3"/>
      <c r="C184" s="3"/>
      <c r="D184" s="3"/>
      <c r="E184" s="3"/>
      <c r="F184" s="3"/>
      <c r="G184" s="3"/>
      <c r="H184" s="3"/>
      <c r="I184" s="3"/>
      <c r="J184" s="3"/>
      <c r="K184" s="3"/>
      <c r="L184" s="3"/>
      <c r="M184" s="3"/>
      <c r="N184" s="3"/>
      <c r="O184" s="3"/>
      <c r="P184" s="3"/>
      <c r="Q184" s="3"/>
      <c r="R184" s="3"/>
      <c r="S184" s="3"/>
      <c r="T184" s="3"/>
    </row>
    <row r="185" spans="1:20" x14ac:dyDescent="0.35">
      <c r="A185" s="3"/>
      <c r="B185" s="3"/>
      <c r="C185" s="3"/>
      <c r="D185" s="3"/>
      <c r="E185" s="3"/>
      <c r="F185" s="3"/>
      <c r="G185" s="3"/>
      <c r="H185" s="3"/>
      <c r="I185" s="3"/>
      <c r="J185" s="3"/>
      <c r="K185" s="3"/>
      <c r="L185" s="3"/>
      <c r="M185" s="3"/>
      <c r="N185" s="3"/>
      <c r="O185" s="3"/>
      <c r="P185" s="3"/>
      <c r="Q185" s="3"/>
      <c r="R185" s="3"/>
      <c r="S185" s="3"/>
      <c r="T185" s="3"/>
    </row>
    <row r="186" spans="1:20" x14ac:dyDescent="0.35">
      <c r="A186" s="3"/>
      <c r="B186" s="3"/>
      <c r="C186" s="3"/>
      <c r="D186" s="3"/>
      <c r="E186" s="3"/>
      <c r="F186" s="3"/>
      <c r="G186" s="3"/>
      <c r="H186" s="3"/>
      <c r="I186" s="3"/>
      <c r="J186" s="3"/>
      <c r="K186" s="3"/>
      <c r="L186" s="3"/>
      <c r="M186" s="3"/>
      <c r="N186" s="3"/>
      <c r="O186" s="3"/>
      <c r="P186" s="3"/>
      <c r="Q186" s="3"/>
      <c r="R186" s="3"/>
      <c r="S186" s="3"/>
      <c r="T186" s="3"/>
    </row>
    <row r="187" spans="1:20" x14ac:dyDescent="0.35">
      <c r="A187" s="3"/>
      <c r="B187" s="3"/>
      <c r="C187" s="3"/>
      <c r="D187" s="3"/>
      <c r="E187" s="3"/>
      <c r="F187" s="3"/>
      <c r="G187" s="3"/>
      <c r="H187" s="3"/>
      <c r="I187" s="3"/>
      <c r="J187" s="3"/>
      <c r="K187" s="3"/>
      <c r="L187" s="3"/>
      <c r="M187" s="3"/>
      <c r="N187" s="3"/>
      <c r="O187" s="3"/>
      <c r="P187" s="3"/>
      <c r="Q187" s="3"/>
      <c r="R187" s="3"/>
      <c r="S187" s="3"/>
      <c r="T187" s="3"/>
    </row>
    <row r="188" spans="1:20" x14ac:dyDescent="0.35">
      <c r="A188" s="3"/>
      <c r="B188" s="3"/>
      <c r="C188" s="3"/>
      <c r="D188" s="3"/>
      <c r="E188" s="3"/>
      <c r="F188" s="3"/>
      <c r="G188" s="3"/>
      <c r="H188" s="3"/>
      <c r="I188" s="3"/>
      <c r="J188" s="3"/>
      <c r="K188" s="3"/>
      <c r="L188" s="3"/>
      <c r="M188" s="3"/>
      <c r="N188" s="3"/>
      <c r="O188" s="3"/>
      <c r="P188" s="3"/>
      <c r="Q188" s="3"/>
      <c r="R188" s="3"/>
      <c r="S188" s="3"/>
      <c r="T188" s="3"/>
    </row>
    <row r="189" spans="1:20" x14ac:dyDescent="0.35">
      <c r="A189" s="3"/>
      <c r="B189" s="3"/>
      <c r="C189" s="3"/>
      <c r="D189" s="3"/>
      <c r="E189" s="3"/>
      <c r="F189" s="3"/>
      <c r="G189" s="3"/>
      <c r="H189" s="3"/>
      <c r="I189" s="3"/>
      <c r="J189" s="3"/>
      <c r="K189" s="3"/>
      <c r="L189" s="3"/>
      <c r="M189" s="3"/>
      <c r="N189" s="3"/>
      <c r="O189" s="3"/>
      <c r="P189" s="3"/>
      <c r="Q189" s="3"/>
      <c r="R189" s="3"/>
      <c r="S189" s="3"/>
      <c r="T189" s="3"/>
    </row>
    <row r="190" spans="1:20" x14ac:dyDescent="0.35">
      <c r="A190" s="3"/>
      <c r="B190" s="3"/>
      <c r="C190" s="3"/>
      <c r="D190" s="3"/>
      <c r="E190" s="3"/>
      <c r="F190" s="3"/>
      <c r="G190" s="3"/>
      <c r="H190" s="3"/>
      <c r="I190" s="3"/>
      <c r="J190" s="3"/>
      <c r="K190" s="3"/>
      <c r="L190" s="3"/>
      <c r="M190" s="3"/>
      <c r="N190" s="3"/>
      <c r="O190" s="3"/>
      <c r="P190" s="3"/>
      <c r="Q190" s="3"/>
      <c r="R190" s="3"/>
      <c r="S190" s="3"/>
      <c r="T190" s="3"/>
    </row>
    <row r="191" spans="1:20" x14ac:dyDescent="0.35">
      <c r="A191" s="3"/>
      <c r="B191" s="3"/>
      <c r="C191" s="3"/>
      <c r="D191" s="3"/>
      <c r="E191" s="3"/>
      <c r="F191" s="3"/>
      <c r="G191" s="3"/>
      <c r="H191" s="3"/>
      <c r="I191" s="3"/>
      <c r="J191" s="3"/>
      <c r="K191" s="3"/>
      <c r="L191" s="3"/>
      <c r="M191" s="3"/>
      <c r="N191" s="3"/>
      <c r="O191" s="3"/>
      <c r="P191" s="3"/>
      <c r="Q191" s="3"/>
      <c r="R191" s="3"/>
      <c r="S191" s="3"/>
      <c r="T191" s="3"/>
    </row>
    <row r="192" spans="1:20" x14ac:dyDescent="0.35">
      <c r="A192" s="3"/>
      <c r="B192" s="3"/>
      <c r="C192" s="3"/>
      <c r="D192" s="3"/>
      <c r="E192" s="3"/>
      <c r="F192" s="3"/>
      <c r="G192" s="3"/>
      <c r="H192" s="3"/>
      <c r="I192" s="3"/>
      <c r="J192" s="3"/>
      <c r="K192" s="3"/>
      <c r="L192" s="3"/>
      <c r="M192" s="3"/>
      <c r="N192" s="3"/>
      <c r="O192" s="3"/>
      <c r="P192" s="3"/>
      <c r="Q192" s="3"/>
      <c r="R192" s="3"/>
      <c r="S192" s="3"/>
      <c r="T192" s="3"/>
    </row>
    <row r="193" spans="1:20" x14ac:dyDescent="0.35">
      <c r="A193" s="3"/>
      <c r="B193" s="3"/>
      <c r="C193" s="3"/>
      <c r="D193" s="3"/>
      <c r="E193" s="3"/>
      <c r="F193" s="3"/>
      <c r="G193" s="3"/>
      <c r="H193" s="3"/>
      <c r="I193" s="3"/>
      <c r="J193" s="3"/>
      <c r="K193" s="3"/>
      <c r="L193" s="3"/>
      <c r="M193" s="3"/>
      <c r="N193" s="3"/>
      <c r="O193" s="3"/>
      <c r="P193" s="3"/>
      <c r="Q193" s="3"/>
      <c r="R193" s="3"/>
      <c r="S193" s="3"/>
      <c r="T193" s="3"/>
    </row>
    <row r="194" spans="1:20" x14ac:dyDescent="0.35">
      <c r="A194" s="3"/>
      <c r="B194" s="3"/>
      <c r="C194" s="3"/>
      <c r="D194" s="3"/>
      <c r="E194" s="3"/>
      <c r="F194" s="3"/>
      <c r="G194" s="3"/>
      <c r="H194" s="3"/>
      <c r="I194" s="3"/>
      <c r="J194" s="3"/>
      <c r="K194" s="3"/>
      <c r="L194" s="3"/>
      <c r="M194" s="3"/>
      <c r="N194" s="3"/>
      <c r="O194" s="3"/>
      <c r="P194" s="3"/>
      <c r="Q194" s="3"/>
      <c r="R194" s="3"/>
      <c r="S194" s="3"/>
      <c r="T194" s="3"/>
    </row>
    <row r="195" spans="1:20" x14ac:dyDescent="0.35">
      <c r="A195" s="3"/>
      <c r="B195" s="3"/>
      <c r="C195" s="3"/>
      <c r="D195" s="3"/>
      <c r="E195" s="3"/>
      <c r="F195" s="3"/>
      <c r="G195" s="3"/>
      <c r="H195" s="3"/>
      <c r="I195" s="3"/>
      <c r="J195" s="3"/>
      <c r="K195" s="3"/>
      <c r="L195" s="3"/>
      <c r="M195" s="3"/>
      <c r="N195" s="3"/>
      <c r="O195" s="3"/>
      <c r="P195" s="3"/>
      <c r="Q195" s="3"/>
      <c r="R195" s="3"/>
      <c r="S195" s="3"/>
      <c r="T195" s="3"/>
    </row>
    <row r="196" spans="1:20" x14ac:dyDescent="0.35">
      <c r="A196" s="3"/>
      <c r="B196" s="3"/>
      <c r="C196" s="3"/>
      <c r="D196" s="3"/>
      <c r="E196" s="3"/>
      <c r="F196" s="3"/>
      <c r="G196" s="3"/>
      <c r="H196" s="3"/>
      <c r="I196" s="3"/>
      <c r="J196" s="3"/>
      <c r="K196" s="3"/>
      <c r="L196" s="3"/>
      <c r="M196" s="3"/>
      <c r="N196" s="3"/>
      <c r="O196" s="3"/>
      <c r="P196" s="3"/>
      <c r="Q196" s="3"/>
      <c r="R196" s="3"/>
      <c r="S196" s="3"/>
      <c r="T196" s="3"/>
    </row>
    <row r="197" spans="1:20" x14ac:dyDescent="0.35">
      <c r="A197" s="3"/>
      <c r="B197" s="3"/>
      <c r="C197" s="3"/>
      <c r="D197" s="3"/>
      <c r="E197" s="3"/>
      <c r="F197" s="3"/>
      <c r="G197" s="3"/>
      <c r="H197" s="3"/>
      <c r="I197" s="3"/>
      <c r="J197" s="3"/>
      <c r="K197" s="3"/>
      <c r="L197" s="3"/>
      <c r="M197" s="3"/>
      <c r="N197" s="3"/>
      <c r="O197" s="3"/>
      <c r="P197" s="3"/>
      <c r="Q197" s="3"/>
      <c r="R197" s="3"/>
      <c r="S197" s="3"/>
      <c r="T197" s="3"/>
    </row>
    <row r="198" spans="1:20" x14ac:dyDescent="0.35">
      <c r="A198" s="3"/>
      <c r="B198" s="3"/>
      <c r="C198" s="3"/>
      <c r="D198" s="3"/>
      <c r="E198" s="3"/>
      <c r="F198" s="3"/>
      <c r="G198" s="3"/>
      <c r="H198" s="3"/>
      <c r="I198" s="3"/>
      <c r="J198" s="3"/>
      <c r="K198" s="3"/>
      <c r="L198" s="3"/>
      <c r="M198" s="3"/>
      <c r="N198" s="3"/>
      <c r="O198" s="3"/>
      <c r="P198" s="3"/>
      <c r="Q198" s="3"/>
      <c r="R198" s="3"/>
      <c r="S198" s="3"/>
      <c r="T198" s="3"/>
    </row>
    <row r="199" spans="1:20" x14ac:dyDescent="0.35">
      <c r="A199" s="3"/>
      <c r="B199" s="3"/>
      <c r="C199" s="3"/>
      <c r="D199" s="3"/>
      <c r="E199" s="3"/>
      <c r="F199" s="3"/>
      <c r="G199" s="3"/>
      <c r="H199" s="3"/>
      <c r="I199" s="3"/>
      <c r="J199" s="3"/>
      <c r="K199" s="3"/>
      <c r="L199" s="3"/>
      <c r="M199" s="3"/>
      <c r="N199" s="3"/>
      <c r="O199" s="3"/>
      <c r="P199" s="3"/>
      <c r="Q199" s="3"/>
      <c r="R199" s="3"/>
      <c r="S199" s="3"/>
      <c r="T199" s="3"/>
    </row>
    <row r="200" spans="1:20" x14ac:dyDescent="0.35">
      <c r="A200" s="3"/>
      <c r="B200" s="3"/>
      <c r="C200" s="3"/>
      <c r="D200" s="3"/>
      <c r="E200" s="3"/>
      <c r="F200" s="3"/>
      <c r="G200" s="3"/>
      <c r="H200" s="3"/>
      <c r="I200" s="3"/>
      <c r="J200" s="3"/>
      <c r="K200" s="3"/>
      <c r="L200" s="3"/>
      <c r="M200" s="3"/>
      <c r="N200" s="3"/>
      <c r="O200" s="3"/>
      <c r="P200" s="3"/>
      <c r="Q200" s="3"/>
      <c r="R200" s="3"/>
      <c r="S200" s="3"/>
      <c r="T200" s="3"/>
    </row>
    <row r="201" spans="1:20" x14ac:dyDescent="0.35">
      <c r="A201" s="3"/>
      <c r="B201" s="3"/>
      <c r="C201" s="3"/>
      <c r="D201" s="3"/>
      <c r="E201" s="3"/>
      <c r="F201" s="3"/>
      <c r="G201" s="3"/>
      <c r="H201" s="3"/>
      <c r="I201" s="3"/>
      <c r="J201" s="3"/>
      <c r="K201" s="3"/>
      <c r="L201" s="3"/>
      <c r="M201" s="3"/>
      <c r="N201" s="3"/>
      <c r="O201" s="3"/>
      <c r="P201" s="3"/>
      <c r="Q201" s="3"/>
      <c r="R201" s="3"/>
      <c r="S201" s="3"/>
      <c r="T201" s="3"/>
    </row>
    <row r="202" spans="1:20" x14ac:dyDescent="0.35">
      <c r="A202" s="3"/>
      <c r="B202" s="3"/>
      <c r="C202" s="3"/>
      <c r="D202" s="3"/>
      <c r="E202" s="3"/>
      <c r="F202" s="3"/>
      <c r="G202" s="3"/>
      <c r="H202" s="3"/>
      <c r="I202" s="3"/>
      <c r="J202" s="3"/>
      <c r="K202" s="3"/>
      <c r="L202" s="3"/>
      <c r="M202" s="3"/>
      <c r="N202" s="3"/>
      <c r="O202" s="3"/>
      <c r="P202" s="3"/>
      <c r="Q202" s="3"/>
      <c r="R202" s="3"/>
      <c r="S202" s="3"/>
      <c r="T202" s="3"/>
    </row>
    <row r="203" spans="1:20" x14ac:dyDescent="0.35">
      <c r="A203" s="3"/>
      <c r="B203" s="3"/>
      <c r="C203" s="3"/>
      <c r="D203" s="3"/>
      <c r="E203" s="3"/>
      <c r="F203" s="3"/>
      <c r="G203" s="3"/>
      <c r="H203" s="3"/>
      <c r="I203" s="3"/>
      <c r="J203" s="3"/>
      <c r="K203" s="3"/>
      <c r="L203" s="3"/>
      <c r="M203" s="3"/>
      <c r="N203" s="3"/>
      <c r="O203" s="3"/>
      <c r="P203" s="3"/>
      <c r="Q203" s="3"/>
      <c r="R203" s="3"/>
      <c r="S203" s="3"/>
      <c r="T203" s="3"/>
    </row>
    <row r="204" spans="1:20" x14ac:dyDescent="0.35">
      <c r="A204" s="3"/>
      <c r="B204" s="3"/>
      <c r="C204" s="3"/>
      <c r="D204" s="3"/>
      <c r="E204" s="3"/>
      <c r="F204" s="3"/>
      <c r="G204" s="3"/>
      <c r="H204" s="3"/>
      <c r="I204" s="3"/>
      <c r="J204" s="3"/>
      <c r="K204" s="3"/>
      <c r="L204" s="3"/>
      <c r="M204" s="3"/>
      <c r="N204" s="3"/>
      <c r="O204" s="3"/>
      <c r="P204" s="3"/>
      <c r="Q204" s="3"/>
      <c r="R204" s="3"/>
      <c r="S204" s="3"/>
      <c r="T204" s="3"/>
    </row>
    <row r="205" spans="1:20" x14ac:dyDescent="0.35">
      <c r="A205" s="3"/>
      <c r="B205" s="3"/>
      <c r="C205" s="3"/>
      <c r="D205" s="3"/>
      <c r="E205" s="3"/>
      <c r="F205" s="3"/>
      <c r="G205" s="3"/>
      <c r="H205" s="3"/>
      <c r="I205" s="3"/>
      <c r="J205" s="3"/>
      <c r="K205" s="3"/>
      <c r="L205" s="3"/>
      <c r="M205" s="3"/>
      <c r="N205" s="3"/>
      <c r="O205" s="3"/>
      <c r="P205" s="3"/>
      <c r="Q205" s="3"/>
      <c r="R205" s="3"/>
      <c r="S205" s="3"/>
      <c r="T205" s="3"/>
    </row>
    <row r="206" spans="1:20" x14ac:dyDescent="0.35">
      <c r="A206" s="3"/>
      <c r="B206" s="3"/>
      <c r="C206" s="3"/>
      <c r="D206" s="3"/>
      <c r="E206" s="3"/>
      <c r="F206" s="3"/>
      <c r="G206" s="3"/>
      <c r="H206" s="3"/>
      <c r="I206" s="3"/>
      <c r="J206" s="3"/>
      <c r="K206" s="3"/>
      <c r="L206" s="3"/>
      <c r="M206" s="3"/>
      <c r="N206" s="3"/>
      <c r="O206" s="3"/>
      <c r="P206" s="3"/>
      <c r="Q206" s="3"/>
      <c r="R206" s="3"/>
      <c r="S206" s="3"/>
      <c r="T206" s="3"/>
    </row>
    <row r="207" spans="1:20" x14ac:dyDescent="0.35">
      <c r="A207" s="3"/>
      <c r="B207" s="3"/>
      <c r="C207" s="3"/>
      <c r="D207" s="3"/>
      <c r="E207" s="3"/>
      <c r="F207" s="3"/>
      <c r="G207" s="3"/>
      <c r="H207" s="3"/>
      <c r="I207" s="3"/>
      <c r="J207" s="3"/>
      <c r="K207" s="3"/>
      <c r="L207" s="3"/>
      <c r="M207" s="3"/>
      <c r="N207" s="3"/>
      <c r="O207" s="3"/>
      <c r="P207" s="3"/>
      <c r="Q207" s="3"/>
      <c r="R207" s="3"/>
      <c r="S207" s="3"/>
      <c r="T207" s="3"/>
    </row>
    <row r="208" spans="1:20" x14ac:dyDescent="0.35">
      <c r="A208" s="3"/>
      <c r="B208" s="3"/>
      <c r="C208" s="3"/>
      <c r="D208" s="3"/>
      <c r="E208" s="3"/>
      <c r="F208" s="3"/>
      <c r="G208" s="3"/>
      <c r="H208" s="3"/>
      <c r="I208" s="3"/>
      <c r="J208" s="3"/>
      <c r="K208" s="3"/>
      <c r="L208" s="3"/>
      <c r="M208" s="3"/>
      <c r="N208" s="3"/>
      <c r="O208" s="3"/>
      <c r="P208" s="3"/>
      <c r="Q208" s="3"/>
      <c r="R208" s="3"/>
      <c r="S208" s="3"/>
      <c r="T208" s="3"/>
    </row>
    <row r="209" spans="1:20" x14ac:dyDescent="0.35">
      <c r="A209" s="3"/>
      <c r="B209" s="3"/>
      <c r="C209" s="3"/>
      <c r="D209" s="3"/>
      <c r="E209" s="3"/>
      <c r="F209" s="3"/>
      <c r="G209" s="3"/>
      <c r="H209" s="3"/>
      <c r="I209" s="3"/>
      <c r="J209" s="3"/>
      <c r="K209" s="3"/>
      <c r="L209" s="3"/>
      <c r="M209" s="3"/>
      <c r="N209" s="3"/>
      <c r="O209" s="3"/>
      <c r="P209" s="3"/>
      <c r="Q209" s="3"/>
      <c r="R209" s="3"/>
      <c r="S209" s="3"/>
      <c r="T209" s="3"/>
    </row>
    <row r="210" spans="1:20" x14ac:dyDescent="0.35">
      <c r="A210" s="3"/>
      <c r="B210" s="3"/>
      <c r="C210" s="3"/>
      <c r="D210" s="3"/>
      <c r="E210" s="3"/>
      <c r="F210" s="3"/>
      <c r="G210" s="3"/>
      <c r="H210" s="3"/>
      <c r="I210" s="3"/>
      <c r="J210" s="3"/>
      <c r="K210" s="3"/>
      <c r="L210" s="3"/>
      <c r="M210" s="3"/>
      <c r="N210" s="3"/>
      <c r="O210" s="3"/>
      <c r="P210" s="3"/>
      <c r="Q210" s="3"/>
      <c r="R210" s="3"/>
      <c r="S210" s="3"/>
      <c r="T210" s="3"/>
    </row>
    <row r="211" spans="1:20" x14ac:dyDescent="0.35">
      <c r="A211" s="3"/>
      <c r="B211" s="3"/>
      <c r="C211" s="3"/>
      <c r="D211" s="3"/>
      <c r="E211" s="3"/>
      <c r="F211" s="3"/>
      <c r="G211" s="3"/>
      <c r="H211" s="3"/>
      <c r="I211" s="3"/>
      <c r="J211" s="3"/>
      <c r="K211" s="3"/>
      <c r="L211" s="3"/>
      <c r="M211" s="3"/>
      <c r="N211" s="3"/>
      <c r="O211" s="3"/>
      <c r="P211" s="3"/>
      <c r="Q211" s="3"/>
      <c r="R211" s="3"/>
      <c r="S211" s="3"/>
      <c r="T211" s="3"/>
    </row>
    <row r="212" spans="1:20" x14ac:dyDescent="0.35">
      <c r="A212" s="3"/>
      <c r="B212" s="3"/>
      <c r="C212" s="3"/>
      <c r="D212" s="3"/>
      <c r="E212" s="3"/>
      <c r="F212" s="3"/>
      <c r="G212" s="3"/>
      <c r="H212" s="3"/>
      <c r="I212" s="3"/>
      <c r="J212" s="3"/>
      <c r="K212" s="3"/>
      <c r="L212" s="3"/>
      <c r="M212" s="3"/>
      <c r="N212" s="3"/>
      <c r="O212" s="3"/>
      <c r="P212" s="3"/>
      <c r="Q212" s="3"/>
      <c r="R212" s="3"/>
      <c r="S212" s="3"/>
      <c r="T212" s="3"/>
    </row>
    <row r="213" spans="1:20" x14ac:dyDescent="0.35">
      <c r="A213" s="3"/>
      <c r="B213" s="3"/>
      <c r="C213" s="3"/>
      <c r="D213" s="3"/>
      <c r="E213" s="3"/>
      <c r="F213" s="3"/>
      <c r="G213" s="3"/>
      <c r="H213" s="3"/>
      <c r="I213" s="3"/>
      <c r="J213" s="3"/>
      <c r="K213" s="3"/>
      <c r="L213" s="3"/>
      <c r="M213" s="3"/>
      <c r="N213" s="3"/>
      <c r="O213" s="3"/>
      <c r="P213" s="3"/>
      <c r="Q213" s="3"/>
      <c r="R213" s="3"/>
      <c r="S213" s="3"/>
      <c r="T213" s="3"/>
    </row>
    <row r="214" spans="1:20" x14ac:dyDescent="0.35">
      <c r="A214" s="3"/>
      <c r="B214" s="3"/>
      <c r="C214" s="3"/>
      <c r="D214" s="3"/>
      <c r="E214" s="3"/>
      <c r="F214" s="3"/>
      <c r="G214" s="3"/>
      <c r="H214" s="3"/>
      <c r="I214" s="3"/>
      <c r="J214" s="3"/>
      <c r="K214" s="3"/>
      <c r="L214" s="3"/>
      <c r="M214" s="3"/>
      <c r="N214" s="3"/>
      <c r="O214" s="3"/>
      <c r="P214" s="3"/>
      <c r="Q214" s="3"/>
      <c r="R214" s="3"/>
      <c r="S214" s="3"/>
      <c r="T214" s="3"/>
    </row>
    <row r="215" spans="1:20" x14ac:dyDescent="0.35">
      <c r="A215" s="3"/>
      <c r="B215" s="3"/>
      <c r="C215" s="3"/>
      <c r="D215" s="3"/>
      <c r="E215" s="3"/>
      <c r="F215" s="3"/>
      <c r="G215" s="3"/>
      <c r="H215" s="3"/>
      <c r="I215" s="3"/>
      <c r="J215" s="3"/>
      <c r="K215" s="3"/>
      <c r="L215" s="3"/>
      <c r="M215" s="3"/>
      <c r="N215" s="3"/>
      <c r="O215" s="3"/>
      <c r="P215" s="3"/>
      <c r="Q215" s="3"/>
      <c r="R215" s="3"/>
      <c r="S215" s="3"/>
      <c r="T215" s="3"/>
    </row>
    <row r="216" spans="1:20" x14ac:dyDescent="0.35">
      <c r="A216" s="3"/>
      <c r="B216" s="3"/>
      <c r="C216" s="3"/>
      <c r="D216" s="3"/>
      <c r="E216" s="3"/>
      <c r="F216" s="3"/>
      <c r="G216" s="3"/>
      <c r="H216" s="3"/>
      <c r="I216" s="3"/>
      <c r="J216" s="3"/>
      <c r="K216" s="3"/>
      <c r="L216" s="3"/>
      <c r="M216" s="3"/>
      <c r="N216" s="3"/>
      <c r="O216" s="3"/>
      <c r="P216" s="3"/>
      <c r="Q216" s="3"/>
      <c r="R216" s="3"/>
      <c r="S216" s="3"/>
      <c r="T216" s="3"/>
    </row>
    <row r="217" spans="1:20" x14ac:dyDescent="0.35">
      <c r="A217" s="3"/>
      <c r="B217" s="3"/>
      <c r="C217" s="3"/>
      <c r="D217" s="3"/>
      <c r="E217" s="3"/>
      <c r="F217" s="3"/>
      <c r="G217" s="3"/>
      <c r="H217" s="3"/>
      <c r="I217" s="3"/>
      <c r="J217" s="3"/>
      <c r="K217" s="3"/>
      <c r="L217" s="3"/>
      <c r="M217" s="3"/>
      <c r="N217" s="3"/>
      <c r="O217" s="3"/>
      <c r="P217" s="3"/>
      <c r="Q217" s="3"/>
      <c r="R217" s="3"/>
      <c r="S217" s="3"/>
      <c r="T217" s="3"/>
    </row>
    <row r="218" spans="1:20" x14ac:dyDescent="0.35">
      <c r="A218" s="3"/>
      <c r="B218" s="3"/>
      <c r="C218" s="3"/>
      <c r="D218" s="3"/>
      <c r="E218" s="3"/>
      <c r="F218" s="3"/>
      <c r="G218" s="3"/>
      <c r="H218" s="3"/>
      <c r="I218" s="3"/>
      <c r="J218" s="3"/>
      <c r="K218" s="3"/>
      <c r="L218" s="3"/>
      <c r="M218" s="3"/>
      <c r="N218" s="3"/>
      <c r="O218" s="3"/>
      <c r="P218" s="3"/>
      <c r="Q218" s="3"/>
      <c r="R218" s="3"/>
      <c r="S218" s="3"/>
      <c r="T218" s="3"/>
    </row>
  </sheetData>
  <mergeCells count="5">
    <mergeCell ref="C1:D1"/>
    <mergeCell ref="F1:G1"/>
    <mergeCell ref="I1:J1"/>
    <mergeCell ref="L1:M1"/>
    <mergeCell ref="O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D0C0-6AF1-42A6-B40F-4B49ACCBAFD4}">
  <sheetPr codeName="Sheet3"/>
  <dimension ref="B3:AC36"/>
  <sheetViews>
    <sheetView topLeftCell="A16" zoomScale="53" workbookViewId="0">
      <selection activeCell="L46" sqref="L46"/>
    </sheetView>
  </sheetViews>
  <sheetFormatPr defaultRowHeight="14.5" x14ac:dyDescent="0.35"/>
  <sheetData>
    <row r="3" spans="2:29" x14ac:dyDescent="0.35">
      <c r="B3">
        <v>0.33333333333333331</v>
      </c>
      <c r="C3">
        <v>1</v>
      </c>
    </row>
    <row r="4" spans="2:29" x14ac:dyDescent="0.35">
      <c r="B4">
        <v>0.51515151515151514</v>
      </c>
      <c r="C4">
        <v>0.61818181818181817</v>
      </c>
      <c r="AC4" t="s">
        <v>73</v>
      </c>
    </row>
    <row r="5" spans="2:29" x14ac:dyDescent="0.35">
      <c r="B5">
        <v>0.31818181818181818</v>
      </c>
      <c r="C5">
        <v>0.43636363636363634</v>
      </c>
    </row>
    <row r="6" spans="2:29" x14ac:dyDescent="0.35">
      <c r="B6">
        <v>0.34848484848484851</v>
      </c>
      <c r="C6">
        <v>0.81818181818181823</v>
      </c>
      <c r="AC6" t="s">
        <v>19</v>
      </c>
    </row>
    <row r="7" spans="2:29" x14ac:dyDescent="0.35">
      <c r="B7">
        <v>0.66666666666666663</v>
      </c>
      <c r="C7">
        <v>0.2</v>
      </c>
    </row>
    <row r="8" spans="2:29" x14ac:dyDescent="0.35">
      <c r="B8">
        <v>1</v>
      </c>
      <c r="C8">
        <v>0.38181818181818183</v>
      </c>
    </row>
    <row r="9" spans="2:29" x14ac:dyDescent="0.35">
      <c r="B9">
        <v>0.68181818181818177</v>
      </c>
      <c r="C9">
        <v>0.41818181818181815</v>
      </c>
    </row>
    <row r="10" spans="2:29" x14ac:dyDescent="0.35">
      <c r="B10">
        <v>0.51515151515151514</v>
      </c>
      <c r="C10">
        <v>0.14545454545454545</v>
      </c>
    </row>
    <row r="13" spans="2:29" x14ac:dyDescent="0.35">
      <c r="AC13" t="s">
        <v>21</v>
      </c>
    </row>
    <row r="18" spans="29:29" x14ac:dyDescent="0.35">
      <c r="AC18" t="s">
        <v>22</v>
      </c>
    </row>
    <row r="23" spans="29:29" x14ac:dyDescent="0.35">
      <c r="AC23" t="s">
        <v>32</v>
      </c>
    </row>
    <row r="28" spans="29:29" x14ac:dyDescent="0.35">
      <c r="AC28" t="s">
        <v>23</v>
      </c>
    </row>
    <row r="33" spans="29:29" x14ac:dyDescent="0.35">
      <c r="AC33" t="s">
        <v>31</v>
      </c>
    </row>
    <row r="36" spans="29:29" x14ac:dyDescent="0.35">
      <c r="AC36" t="s">
        <v>33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 Page</vt:lpstr>
      <vt:lpstr>Iteration Data</vt:lpstr>
      <vt:lpstr>Figure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Haythornthwaite</dc:creator>
  <cp:lastModifiedBy>Matthew Haythornthwaite</cp:lastModifiedBy>
  <dcterms:created xsi:type="dcterms:W3CDTF">2021-02-28T18:00:16Z</dcterms:created>
  <dcterms:modified xsi:type="dcterms:W3CDTF">2021-08-23T19:55:18Z</dcterms:modified>
</cp:coreProperties>
</file>