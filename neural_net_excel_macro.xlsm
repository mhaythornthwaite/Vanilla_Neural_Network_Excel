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hayt\Documents\Software_Developer-Python\Vanilla_Neural_Network_Excel\"/>
    </mc:Choice>
  </mc:AlternateContent>
  <xr:revisionPtr revIDLastSave="0" documentId="13_ncr:1_{4AD90607-11A0-4265-9471-B5D097E79B17}" xr6:coauthVersionLast="46" xr6:coauthVersionMax="46" xr10:uidLastSave="{00000000-0000-0000-0000-000000000000}"/>
  <bookViews>
    <workbookView xWindow="-110" yWindow="-110" windowWidth="19420" windowHeight="1042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8" i="1" l="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T5" i="1"/>
  <c r="AY8" i="1"/>
  <c r="AK8" i="1"/>
  <c r="T8" i="1"/>
  <c r="AR8" i="1"/>
  <c r="Y8" i="1"/>
  <c r="Y7" i="1"/>
  <c r="AK7" i="1"/>
  <c r="AR7" i="1"/>
  <c r="AY7" i="1"/>
  <c r="T7" i="1"/>
  <c r="K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M6" i="1"/>
  <c r="AE6" i="1"/>
  <c r="BB6" i="1"/>
  <c r="AA6" i="1"/>
  <c r="Z6" i="1"/>
  <c r="AF6" i="1"/>
  <c r="BA6" i="1"/>
  <c r="AM6" i="1"/>
  <c r="AT6" i="1"/>
  <c r="AM5" i="1"/>
  <c r="K5" i="1"/>
  <c r="M5" i="1" s="1"/>
  <c r="AT5" i="1"/>
  <c r="BB5" i="1"/>
  <c r="BA5" i="1"/>
  <c r="AU5" i="1"/>
  <c r="Z5" i="1"/>
  <c r="AN5" i="1"/>
  <c r="AF5" i="1"/>
  <c r="AE5" i="1"/>
  <c r="AA5" i="1"/>
  <c r="AF7" i="1"/>
  <c r="BA7" i="1"/>
  <c r="AE7" i="1"/>
  <c r="AM7" i="1"/>
  <c r="AT7" i="1"/>
  <c r="Z7" i="1"/>
  <c r="BB7" i="1"/>
  <c r="M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M14" i="1" l="1"/>
  <c r="AW9" i="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Y14" i="1" l="1"/>
  <c r="AA14" i="1" s="1"/>
  <c r="AX14" i="1"/>
  <c r="BB14" i="1" s="1"/>
  <c r="AJ14" i="1"/>
  <c r="AN14" i="1" s="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<sst xmlns="http://schemas.openxmlformats.org/spreadsheetml/2006/main" count="143" uniqueCount="82">
  <si>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</si>
  <si>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</si>
  <si>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</si>
  <si>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</si>
  <si>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</si>
  <si>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</si>
  <si>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</si>
  <si>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</si>
  <si>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</si>
  <si>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</si>
  <si>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</si>
  <si>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</si>
  <si>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</si>
  <si>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</si>
  <si>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</si>
  <si>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</si>
  <si>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</si>
  <si>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</si>
  <si>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</si>
  <si>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</si>
  <si>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</si>
  <si>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</si>
  <si>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</si>
  <si>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</si>
  <si>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</si>
  <si>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</si>
  <si>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</si>
  <si>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</si>
  <si>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</si>
  <si>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\frac{dC}{dw2} = \frac{dz1}{dw2}.\frac{da1}{dz1}.\frac{dz2}{da1}.\frac{da2}{dz2}.\frac{dC}{da2}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</si>
  <si>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</si>
  <si>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</si>
  <si>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</si>
  <si>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</si>
  <si>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</si>
  <si>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</si>
  <si>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</si>
  <si>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</si>
  <si>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</si>
  <si>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</si>
  <si>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</si>
  <si>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</si>
  <si>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</si>
  <si>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</si>
  <si>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</si>
  <si>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</si>
  <si>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</si>
  <si>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</si>
  <si>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</si>
  <si>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</si>
  <si>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</si>
  <si>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</si>
  <si>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</si>
  <si>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</si>
  <si>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</si>
  <si>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</si>
  <si>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</si>
  <si>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</si>
  <si>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</si>
  <si>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</si>
  <si>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</si>
  <si>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</si>
  <si>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</si>
  <si>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</si>
  <si>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</si>
  <si>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</si>
  <si>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</si>
  <si>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</si>
  <si>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</si>
  <si>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</si>
  <si>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</si>
  <si>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</si>
  <si>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</si>
  <si>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</si>
  <si>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</si>
  <si>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</si>
  <si>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</si>
  <si>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</si>
  <si>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</si>
  <si>
    <t>\frac{dC}{db2} = \frac{dz2}{db2}.\frac{da2}{dz2}.\frac{dC}{da2}</t>
  </si>
  <si>
    <t>\frac{dz2}{db2} = 1</t>
  </si>
  <si>
    <t>\frac{dC}{db1} = \frac{dz1}{db1}.\frac{da1}{dz1}.\frac{dz2}{da1}.\frac{da2}{dz2}.\frac{dC}{da2}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</si>
</sst>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563055</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758578" y="2876436"/>
          <a:ext cx="6279437" cy="5604098"/>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98433" y="6069585"/>
          <a:ext cx="4838544" cy="2167913"/>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12511</xdr:rowOff>
    </xdr:from>
    <xdr:to>
      <xdr:col>27</xdr:col>
      <xdr:colOff>96309</xdr:colOff>
      <xdr:row>68</xdr:row>
      <xdr:rowOff>142130</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687257"/>
          <a:ext cx="16907269" cy="3971907"/>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6025505"/>
          <a:ext cx="1965946" cy="2206176"/>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552790" y="2864282"/>
          <a:ext cx="6974237" cy="3131060"/>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00000000-0008-0000-0000-000009000000}"/>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495789</xdr:colOff>
      <xdr:row>69</xdr:row>
      <xdr:rowOff>148027</xdr:rowOff>
    </xdr:from>
    <xdr:to>
      <xdr:col>10</xdr:col>
      <xdr:colOff>148960</xdr:colOff>
      <xdr:row>104</xdr:row>
      <xdr:rowOff>108216</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2848027"/>
          <a:ext cx="5787917" cy="6385528"/>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1"/>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2"/>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3"/>
              <a:stretch>
                <a:fillRect/>
              </a:stretch>
            </xdr:blipFill>
            <xdr:spPr>
              <a:xfrm>
                <a:off x="2851149" y="14185314"/>
                <a:ext cx="2364144" cy="786341"/>
              </a:xfrm>
              <a:prstGeom prst="rect">
                <a:avLst/>
              </a:prstGeom>
            </xdr:spPr>
          </xdr:pic>
          <xdr:pic>
            <xdr:nvPicPr>
              <xdr:cNvPr id="79" name="Pictur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4"/>
              <a:stretch>
                <a:fillRect/>
              </a:stretch>
            </xdr:blipFill>
            <xdr:spPr>
              <a:xfrm>
                <a:off x="927100" y="9385072"/>
                <a:ext cx="1951021" cy="457200"/>
              </a:xfrm>
              <a:prstGeom prst="rect">
                <a:avLst/>
              </a:prstGeom>
            </xdr:spPr>
          </xdr:pic>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3314700" y="9156472"/>
                <a:ext cx="1829196" cy="977899"/>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6"/>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stretch>
            <a:fillRect/>
          </a:stretch>
        </xdr:blipFill>
        <xdr:spPr>
          <a:xfrm>
            <a:off x="7897018" y="14933613"/>
            <a:ext cx="2994026" cy="433183"/>
          </a:xfrm>
          <a:prstGeom prst="rect">
            <a:avLst/>
          </a:prstGeom>
        </xdr:spPr>
      </xdr:pic>
    </xdr:grpSp>
    <xdr:clientData/>
  </xdr:twoCellAnchor>
  <xdr:twoCellAnchor>
    <xdr:from>
      <xdr:col>22</xdr:col>
      <xdr:colOff>352425</xdr:colOff>
      <xdr:row>15</xdr:row>
      <xdr:rowOff>122238</xdr:rowOff>
    </xdr:from>
    <xdr:to>
      <xdr:col>33</xdr:col>
      <xdr:colOff>0</xdr:colOff>
      <xdr:row>44</xdr:row>
      <xdr:rowOff>39687</xdr:rowOff>
    </xdr:to>
    <xdr:grpSp>
      <xdr:nvGrpSpPr>
        <xdr:cNvPr id="49" name="Group 48">
          <a:extLst>
            <a:ext uri="{FF2B5EF4-FFF2-40B4-BE49-F238E27FC236}">
              <a16:creationId xmlns:a16="http://schemas.microsoft.com/office/drawing/2014/main" id="{B9FF4983-6A5E-4BD9-9F81-870BDF2BF03E}"/>
            </a:ext>
          </a:extLst>
        </xdr:cNvPr>
        <xdr:cNvGrpSpPr/>
      </xdr:nvGrpSpPr>
      <xdr:grpSpPr>
        <a:xfrm>
          <a:off x="14473103" y="2942069"/>
          <a:ext cx="6514185" cy="5223465"/>
          <a:chOff x="14433550" y="2916238"/>
          <a:chExt cx="6489700" cy="5211762"/>
        </a:xfrm>
      </xdr:grpSpPr>
      <xdr:grpSp>
        <xdr:nvGrpSpPr>
          <xdr:cNvPr id="1030" name="Group 1029">
            <a:extLst>
              <a:ext uri="{FF2B5EF4-FFF2-40B4-BE49-F238E27FC236}">
                <a16:creationId xmlns:a16="http://schemas.microsoft.com/office/drawing/2014/main" id="{00000000-0008-0000-0000-000006040000}"/>
              </a:ext>
            </a:extLst>
          </xdr:cNvPr>
          <xdr:cNvGrpSpPr/>
        </xdr:nvGrpSpPr>
        <xdr:grpSpPr>
          <a:xfrm>
            <a:off x="14433550" y="2916238"/>
            <a:ext cx="6489700" cy="5211762"/>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8"/>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9"/>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8"/>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9"/>
            <a:stretch>
              <a:fillRect/>
            </a:stretch>
          </xdr:blipFill>
          <xdr:spPr>
            <a:xfrm>
              <a:off x="17951451" y="6947424"/>
              <a:ext cx="2056342" cy="736082"/>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b2</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20"/>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grpSp>
      <xdr:pic>
        <xdr:nvPicPr>
          <xdr:cNvPr id="128" name="Picture 127">
            <a:extLst>
              <a:ext uri="{FF2B5EF4-FFF2-40B4-BE49-F238E27FC236}">
                <a16:creationId xmlns:a16="http://schemas.microsoft.com/office/drawing/2014/main" id="{E46233B6-0EF7-4457-9CCE-A4692F86AAF3}"/>
              </a:ext>
            </a:extLst>
          </xdr:cNvPr>
          <xdr:cNvPicPr>
            <a:picLocks noChangeAspect="1"/>
          </xdr:cNvPicPr>
        </xdr:nvPicPr>
        <xdr:blipFill>
          <a:blip xmlns:r="http://schemas.openxmlformats.org/officeDocument/2006/relationships" r:embed="rId21"/>
          <a:stretch>
            <a:fillRect/>
          </a:stretch>
        </xdr:blipFill>
        <xdr:spPr>
          <a:xfrm>
            <a:off x="17862550" y="4368800"/>
            <a:ext cx="2468562" cy="681902"/>
          </a:xfrm>
          <a:prstGeom prst="rect">
            <a:avLst/>
          </a:prstGeom>
        </xdr:spPr>
      </xdr:pic>
      <xdr:pic>
        <xdr:nvPicPr>
          <xdr:cNvPr id="48" name="Picture 47">
            <a:extLst>
              <a:ext uri="{FF2B5EF4-FFF2-40B4-BE49-F238E27FC236}">
                <a16:creationId xmlns:a16="http://schemas.microsoft.com/office/drawing/2014/main" id="{06D4E6AC-8414-4FD2-88A4-D91A614E9515}"/>
              </a:ext>
            </a:extLst>
          </xdr:cNvPr>
          <xdr:cNvPicPr>
            <a:picLocks noChangeAspect="1"/>
          </xdr:cNvPicPr>
        </xdr:nvPicPr>
        <xdr:blipFill>
          <a:blip xmlns:r="http://schemas.openxmlformats.org/officeDocument/2006/relationships" r:embed="rId22"/>
          <a:stretch>
            <a:fillRect/>
          </a:stretch>
        </xdr:blipFill>
        <xdr:spPr>
          <a:xfrm>
            <a:off x="17867313" y="5225183"/>
            <a:ext cx="1008063" cy="684867"/>
          </a:xfrm>
          <a:prstGeom prst="rect">
            <a:avLst/>
          </a:prstGeom>
        </xdr:spPr>
      </xdr:pic>
    </xdr:grpSp>
    <xdr:clientData/>
  </xdr:twoCellAnchor>
  <xdr:twoCellAnchor>
    <xdr:from>
      <xdr:col>33</xdr:col>
      <xdr:colOff>588963</xdr:colOff>
      <xdr:row>15</xdr:row>
      <xdr:rowOff>101600</xdr:rowOff>
    </xdr:from>
    <xdr:to>
      <xdr:col>54</xdr:col>
      <xdr:colOff>550334</xdr:colOff>
      <xdr:row>54</xdr:row>
      <xdr:rowOff>140759</xdr:rowOff>
    </xdr:to>
    <xdr:grpSp>
      <xdr:nvGrpSpPr>
        <xdr:cNvPr id="54" name="Group 53">
          <a:extLst>
            <a:ext uri="{FF2B5EF4-FFF2-40B4-BE49-F238E27FC236}">
              <a16:creationId xmlns:a16="http://schemas.microsoft.com/office/drawing/2014/main" id="{CE15DCB2-53BC-4871-8990-D48DFE3BE659}"/>
            </a:ext>
          </a:extLst>
        </xdr:cNvPr>
        <xdr:cNvGrpSpPr/>
      </xdr:nvGrpSpPr>
      <xdr:grpSpPr>
        <a:xfrm>
          <a:off x="21576251" y="2921431"/>
          <a:ext cx="12844337" cy="7174836"/>
          <a:chOff x="21512213" y="2895600"/>
          <a:chExt cx="12796309" cy="7159097"/>
        </a:xfrm>
      </xdr:grpSpPr>
      <xdr:grpSp>
        <xdr:nvGrpSpPr>
          <xdr:cNvPr id="1031" name="Group 1030">
            <a:extLst>
              <a:ext uri="{FF2B5EF4-FFF2-40B4-BE49-F238E27FC236}">
                <a16:creationId xmlns:a16="http://schemas.microsoft.com/office/drawing/2014/main" id="{00000000-0008-0000-0000-000007040000}"/>
              </a:ext>
            </a:extLst>
          </xdr:cNvPr>
          <xdr:cNvGrpSpPr/>
        </xdr:nvGrpSpPr>
        <xdr:grpSpPr>
          <a:xfrm>
            <a:off x="21512213" y="2895600"/>
            <a:ext cx="12796309" cy="7159097"/>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3"/>
            <a:stretch>
              <a:fillRect/>
            </a:stretch>
          </xdr:blipFill>
          <xdr:spPr>
            <a:xfrm>
              <a:off x="21664083" y="4308369"/>
              <a:ext cx="3766609" cy="757790"/>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4"/>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9"/>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8"/>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5"/>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6"/>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9"/>
            <a:stretch>
              <a:fillRect/>
            </a:stretch>
          </xdr:blipFill>
          <xdr:spPr>
            <a:xfrm>
              <a:off x="26145707" y="8722056"/>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8"/>
            <a:stretch>
              <a:fillRect/>
            </a:stretch>
          </xdr:blipFill>
          <xdr:spPr>
            <a:xfrm>
              <a:off x="26150997" y="7900791"/>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5"/>
            <a:stretch>
              <a:fillRect/>
            </a:stretch>
          </xdr:blipFill>
          <xdr:spPr>
            <a:xfrm>
              <a:off x="26123482" y="6999090"/>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6"/>
            <a:stretch>
              <a:fillRect/>
            </a:stretch>
          </xdr:blipFill>
          <xdr:spPr>
            <a:xfrm>
              <a:off x="26076915" y="6044474"/>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9"/>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8"/>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5"/>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6"/>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7"/>
            <a:stretch>
              <a:fillRect/>
            </a:stretch>
          </xdr:blipFill>
          <xdr:spPr>
            <a:xfrm>
              <a:off x="21960418" y="5228168"/>
              <a:ext cx="1308982" cy="674158"/>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8"/>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w2, w1 and b1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pic>
        <xdr:nvPicPr>
          <xdr:cNvPr id="50" name="Picture 49">
            <a:extLst>
              <a:ext uri="{FF2B5EF4-FFF2-40B4-BE49-F238E27FC236}">
                <a16:creationId xmlns:a16="http://schemas.microsoft.com/office/drawing/2014/main" id="{AFFEB094-21A4-474A-9486-D77FAF3CAB75}"/>
              </a:ext>
            </a:extLst>
          </xdr:cNvPr>
          <xdr:cNvPicPr>
            <a:picLocks noChangeAspect="1"/>
          </xdr:cNvPicPr>
        </xdr:nvPicPr>
        <xdr:blipFill>
          <a:blip xmlns:r="http://schemas.openxmlformats.org/officeDocument/2006/relationships" r:embed="rId29"/>
          <a:stretch>
            <a:fillRect/>
          </a:stretch>
        </xdr:blipFill>
        <xdr:spPr>
          <a:xfrm>
            <a:off x="25955624" y="4381998"/>
            <a:ext cx="3762375" cy="727946"/>
          </a:xfrm>
          <a:prstGeom prst="rect">
            <a:avLst/>
          </a:prstGeom>
        </xdr:spPr>
      </xdr:pic>
      <xdr:pic>
        <xdr:nvPicPr>
          <xdr:cNvPr id="51" name="Picture 50">
            <a:extLst>
              <a:ext uri="{FF2B5EF4-FFF2-40B4-BE49-F238E27FC236}">
                <a16:creationId xmlns:a16="http://schemas.microsoft.com/office/drawing/2014/main" id="{F63FF9A2-9D91-4568-BB19-C6CF96E20C80}"/>
              </a:ext>
            </a:extLst>
          </xdr:cNvPr>
          <xdr:cNvPicPr>
            <a:picLocks noChangeAspect="1"/>
          </xdr:cNvPicPr>
        </xdr:nvPicPr>
        <xdr:blipFill>
          <a:blip xmlns:r="http://schemas.openxmlformats.org/officeDocument/2006/relationships" r:embed="rId30"/>
          <a:stretch>
            <a:fillRect/>
          </a:stretch>
        </xdr:blipFill>
        <xdr:spPr>
          <a:xfrm>
            <a:off x="25915938" y="5183188"/>
            <a:ext cx="1099891" cy="74273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5162"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1509" y="6218208"/>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topLeftCell="A12" zoomScale="59" zoomScaleNormal="80" workbookViewId="0">
      <selection activeCell="BD23" sqref="BD23"/>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84" t="s">
        <v>67</v>
      </c>
      <c r="D3" s="85"/>
      <c r="E3" s="85"/>
      <c r="F3" s="45"/>
      <c r="G3" s="85" t="s">
        <v>3</v>
      </c>
      <c r="H3" s="85"/>
      <c r="I3" s="86"/>
      <c r="K3" s="84" t="s">
        <v>68</v>
      </c>
      <c r="L3" s="85"/>
      <c r="M3" s="86"/>
      <c r="R3" s="84" t="s">
        <v>69</v>
      </c>
      <c r="S3" s="85"/>
      <c r="T3" s="85"/>
      <c r="U3" s="86"/>
      <c r="X3" s="87" t="s">
        <v>6</v>
      </c>
      <c r="Y3" s="88"/>
      <c r="Z3" s="88"/>
      <c r="AA3" s="89"/>
      <c r="AC3" s="87" t="s">
        <v>8</v>
      </c>
      <c r="AD3" s="88"/>
      <c r="AE3" s="88"/>
      <c r="AF3" s="89"/>
      <c r="AG3" s="1"/>
      <c r="AI3" s="87" t="s">
        <v>5</v>
      </c>
      <c r="AJ3" s="88"/>
      <c r="AK3" s="88"/>
      <c r="AL3" s="88"/>
      <c r="AM3" s="88"/>
      <c r="AN3" s="89"/>
      <c r="AP3" s="87" t="s">
        <v>7</v>
      </c>
      <c r="AQ3" s="88"/>
      <c r="AR3" s="88"/>
      <c r="AS3" s="88"/>
      <c r="AT3" s="88"/>
      <c r="AU3" s="89"/>
      <c r="AW3" s="87" t="s">
        <v>4</v>
      </c>
      <c r="AX3" s="90"/>
      <c r="AY3" s="90"/>
      <c r="AZ3" s="90"/>
      <c r="BA3" s="90"/>
      <c r="BB3" s="91"/>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72</v>
      </c>
      <c r="R4" s="36" t="s">
        <v>10</v>
      </c>
      <c r="S4" s="58" t="s">
        <v>11</v>
      </c>
      <c r="T4" s="58" t="s">
        <v>9</v>
      </c>
      <c r="U4" s="59" t="s">
        <v>12</v>
      </c>
      <c r="X4" s="5" t="s">
        <v>14</v>
      </c>
      <c r="Y4" s="6" t="s">
        <v>26</v>
      </c>
      <c r="Z4" s="6" t="s">
        <v>15</v>
      </c>
      <c r="AA4" s="7" t="s">
        <v>43</v>
      </c>
      <c r="AC4" s="5" t="s">
        <v>17</v>
      </c>
      <c r="AD4" s="6" t="s">
        <v>18</v>
      </c>
      <c r="AE4" s="6" t="s">
        <v>15</v>
      </c>
      <c r="AF4" s="7" t="s">
        <v>43</v>
      </c>
      <c r="AI4" s="5" t="s">
        <v>42</v>
      </c>
      <c r="AJ4" s="6" t="s">
        <v>41</v>
      </c>
      <c r="AK4" s="6" t="s">
        <v>40</v>
      </c>
      <c r="AL4" s="6" t="s">
        <v>39</v>
      </c>
      <c r="AM4" s="6" t="s">
        <v>15</v>
      </c>
      <c r="AN4" s="7" t="s">
        <v>43</v>
      </c>
      <c r="AP4" s="5" t="s">
        <v>45</v>
      </c>
      <c r="AQ4" s="6" t="s">
        <v>44</v>
      </c>
      <c r="AR4" s="6" t="s">
        <v>40</v>
      </c>
      <c r="AS4" s="6" t="s">
        <v>39</v>
      </c>
      <c r="AT4" s="6" t="s">
        <v>15</v>
      </c>
      <c r="AU4" s="7" t="s">
        <v>43</v>
      </c>
      <c r="AW4" s="5" t="s">
        <v>47</v>
      </c>
      <c r="AX4" s="6" t="s">
        <v>46</v>
      </c>
      <c r="AY4" s="6" t="s">
        <v>40</v>
      </c>
      <c r="AZ4" s="6" t="s">
        <v>39</v>
      </c>
      <c r="BA4" s="6" t="s">
        <v>15</v>
      </c>
      <c r="BB4" s="7" t="s">
        <v>43</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0.14435394107714852</v>
      </c>
      <c r="L5" s="6"/>
      <c r="M5" s="10">
        <f>(K5-I5)^2</f>
        <v>2.0838060304504868E-2</v>
      </c>
      <c r="O5" s="14" t="s">
        <v>4</v>
      </c>
      <c r="P5" s="32">
        <v>-3.2670772690082055</v>
      </c>
      <c r="R5" s="8">
        <f>(U5*$P$7) + $P$9</f>
        <v>-1.7795886000995287</v>
      </c>
      <c r="S5" s="9">
        <f>(G5 * $P$5) + (H5 * $P$6) + $P$8</f>
        <v>1.8515577445561171</v>
      </c>
      <c r="T5" s="9">
        <f>1/(1+ EXP(-R5))</f>
        <v>0.14435394107714852</v>
      </c>
      <c r="U5" s="10">
        <f>1/(1+ EXP(-S5))</f>
        <v>0.86430989632198518</v>
      </c>
      <c r="W5" s="3"/>
      <c r="X5" s="8">
        <f>Y5*Z5*AA5</f>
        <v>3.0821298120082535E-2</v>
      </c>
      <c r="Y5" s="9">
        <f>U5</f>
        <v>0.86430989632198518</v>
      </c>
      <c r="Z5" s="9">
        <f>$T5 * (1 - $T5)</f>
        <v>0.12351588077264367</v>
      </c>
      <c r="AA5" s="10">
        <f>2 * ($T5 - $I5)</f>
        <v>0.28870788215429705</v>
      </c>
      <c r="AC5" s="8">
        <f>AD5*AE5*AF5</f>
        <v>3.5660008350292614E-2</v>
      </c>
      <c r="AD5" s="9">
        <v>1</v>
      </c>
      <c r="AE5" s="9">
        <f>$T5 * (1 - $T5)</f>
        <v>0.12351588077264367</v>
      </c>
      <c r="AF5" s="10">
        <f>2 * ($T5 - $I5)</f>
        <v>0.28870788215429705</v>
      </c>
      <c r="AG5" s="3"/>
      <c r="AI5" s="8">
        <f>AJ5*AK5*AL5*AM5*AN5</f>
        <v>-1.8535803789444378E-2</v>
      </c>
      <c r="AJ5" s="9">
        <f>H5</f>
        <v>1</v>
      </c>
      <c r="AK5" s="9">
        <f>$U5 * (1 - $U5)</f>
        <v>0.11727829944186441</v>
      </c>
      <c r="AL5" s="9">
        <f>$P$7</f>
        <v>-4.4321282931241699</v>
      </c>
      <c r="AM5" s="9">
        <f>$T5 * (1 - $T5)</f>
        <v>0.12351588077264367</v>
      </c>
      <c r="AN5" s="10">
        <f>2 * ($T5 - $I5)</f>
        <v>0.28870788215429705</v>
      </c>
      <c r="AP5" s="8">
        <f>AQ5*AR5*AS5*AT5*AU5</f>
        <v>-1.8535803789444378E-2</v>
      </c>
      <c r="AQ5" s="9">
        <v>1</v>
      </c>
      <c r="AR5" s="9">
        <f>$U5 * (1 - $U5)</f>
        <v>0.11727829944186441</v>
      </c>
      <c r="AS5" s="9">
        <f>$P$7</f>
        <v>-4.4321282931241699</v>
      </c>
      <c r="AT5" s="9">
        <f>$T5 * (1 - $T5)</f>
        <v>0.12351588077264367</v>
      </c>
      <c r="AU5" s="10">
        <f>2 * ($T5 - $I5)</f>
        <v>0.28870788215429705</v>
      </c>
      <c r="AW5" s="8">
        <f>AX5*AY5*AZ5*BA5*BB5</f>
        <v>-6.1786012631481254E-3</v>
      </c>
      <c r="AX5" s="9">
        <f>G5</f>
        <v>0.33333333333333331</v>
      </c>
      <c r="AY5" s="9">
        <f>$U5 * (1 - $U5)</f>
        <v>0.11727829944186441</v>
      </c>
      <c r="AZ5" s="9">
        <f>$P$7</f>
        <v>-4.4321282931241699</v>
      </c>
      <c r="BA5" s="9">
        <f>$T5 * (1 - $T5)</f>
        <v>0.12351588077264367</v>
      </c>
      <c r="BB5" s="10">
        <f>2 * ($T5 - $I5)</f>
        <v>0.28870788215429705</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0.38502867294288345</v>
      </c>
      <c r="L6" s="6"/>
      <c r="M6" s="10">
        <f t="shared" ref="M6:M12" si="3">(K6-I6)^2</f>
        <v>0.14824707898815792</v>
      </c>
      <c r="O6" s="15" t="s">
        <v>5</v>
      </c>
      <c r="P6" s="34">
        <v>2.5720412418593179</v>
      </c>
      <c r="R6" s="8">
        <f t="shared" ref="R6:R12" si="4">(U6*$P$7) + $P$9</f>
        <v>-0.46825783735732562</v>
      </c>
      <c r="S6" s="9">
        <f t="shared" ref="S6:S11" si="5">(G6 * $P$5) + (H6 * $P$6) + $P$8</f>
        <v>0.27549158511743088</v>
      </c>
      <c r="T6" s="9">
        <f>1/(1+ EXP(-R6))</f>
        <v>0.38502867294288345</v>
      </c>
      <c r="U6" s="10">
        <f>1/(1+ EXP(-S6))</f>
        <v>0.56844058117229734</v>
      </c>
      <c r="W6" s="3"/>
      <c r="X6" s="8">
        <f t="shared" ref="X6:X12" si="6">Y6*Z6*AA6</f>
        <v>0.10364684403861094</v>
      </c>
      <c r="Y6" s="9">
        <f t="shared" ref="Y6:Y12" si="7">U6</f>
        <v>0.56844058117229734</v>
      </c>
      <c r="Z6" s="9">
        <f t="shared" ref="Z6:Z12" si="8">$T6 * (1 - $T6)</f>
        <v>0.23678159395472553</v>
      </c>
      <c r="AA6" s="10">
        <f t="shared" ref="AA6:AA12" si="9">2 * ($T6 - $I6)</f>
        <v>0.77005734588576691</v>
      </c>
      <c r="AC6" s="8">
        <f t="shared" ref="AC6:AC12" si="10">AD6*AE6*AF6</f>
        <v>0.1823354057953773</v>
      </c>
      <c r="AD6" s="9">
        <v>1</v>
      </c>
      <c r="AE6" s="9">
        <f t="shared" ref="AE6:AE12" si="11">$T6 * (1 - $T6)</f>
        <v>0.23678159395472553</v>
      </c>
      <c r="AF6" s="10">
        <f t="shared" ref="AF6:AF12" si="12">2 * ($T6 - $I6)</f>
        <v>0.77005734588576691</v>
      </c>
      <c r="AG6" s="3"/>
      <c r="AI6" s="8">
        <f t="shared" ref="AI6:AI12" si="13">AJ6*AK6*AL6*AM6*AN6</f>
        <v>-0.12255336289509434</v>
      </c>
      <c r="AJ6" s="9">
        <f t="shared" ref="AJ6:AJ12" si="14">H6</f>
        <v>0.61818181818181817</v>
      </c>
      <c r="AK6" s="9">
        <f>$U6 * (1 - $U6)</f>
        <v>0.24531588684879818</v>
      </c>
      <c r="AL6" s="9">
        <f t="shared" ref="AL6:AL12" si="15">$P$7</f>
        <v>-4.4321282931241699</v>
      </c>
      <c r="AM6" s="9">
        <f t="shared" ref="AM6:AM12" si="16">$T6 * (1 - $T6)</f>
        <v>0.23678159395472553</v>
      </c>
      <c r="AN6" s="10">
        <f t="shared" ref="AN6:AN12" si="17">2 * ($T6 - $I6)</f>
        <v>0.77005734588576691</v>
      </c>
      <c r="AP6" s="8">
        <f t="shared" ref="AP6:AP12" si="18">AQ6*AR6*AS6*AT6*AU6</f>
        <v>-0.19824808703618207</v>
      </c>
      <c r="AQ6" s="9">
        <v>1</v>
      </c>
      <c r="AR6" s="9">
        <f>$U6 * (1 - $U6)</f>
        <v>0.24531588684879818</v>
      </c>
      <c r="AS6" s="9">
        <f t="shared" ref="AS6:AS12" si="19">$P$7</f>
        <v>-4.4321282931241699</v>
      </c>
      <c r="AT6" s="9">
        <f t="shared" ref="AT6:AT12" si="20">$T6 * (1 - $T6)</f>
        <v>0.23678159395472553</v>
      </c>
      <c r="AU6" s="10">
        <f t="shared" ref="AU6:AU12" si="21">2 * ($T6 - $I6)</f>
        <v>0.77005734588576691</v>
      </c>
      <c r="AW6" s="8">
        <f t="shared" ref="AW6:AW12" si="22">AX6*AY6*AZ6*BA6*BB6</f>
        <v>-0.10212780241257861</v>
      </c>
      <c r="AX6" s="9">
        <f t="shared" ref="AX6:AX12" si="23">G6</f>
        <v>0.51515151515151514</v>
      </c>
      <c r="AY6" s="9">
        <f>$U6 * (1 - $U6)</f>
        <v>0.24531588684879818</v>
      </c>
      <c r="AZ6" s="9">
        <f t="shared" ref="AZ6:AZ12" si="24">$P$7</f>
        <v>-4.4321282931241699</v>
      </c>
      <c r="BA6" s="9">
        <f t="shared" ref="BA6:BA12" si="25">$T6 * (1 - $T6)</f>
        <v>0.23678159395472553</v>
      </c>
      <c r="BB6" s="10">
        <f t="shared" ref="BB6:BB12" si="26">2 * ($T6 - $I6)</f>
        <v>0.77005734588576691</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0.34147596984591894</v>
      </c>
      <c r="L7" s="6"/>
      <c r="M7" s="10">
        <f t="shared" si="3"/>
        <v>0.11660583798221094</v>
      </c>
      <c r="O7" s="15" t="s">
        <v>6</v>
      </c>
      <c r="P7" s="34">
        <v>-4.4321282931241699</v>
      </c>
      <c r="R7" s="8">
        <f t="shared" si="4"/>
        <v>-0.65672370272722436</v>
      </c>
      <c r="S7" s="9">
        <f t="shared" si="5"/>
        <v>0.45136294261432264</v>
      </c>
      <c r="T7" s="9">
        <f t="shared" ref="T7:T11" si="27">1/(1+ EXP(-R7))</f>
        <v>0.34147596984591894</v>
      </c>
      <c r="U7" s="10">
        <f t="shared" ref="U7:U11" si="28">1/(1+ EXP(-S7))</f>
        <v>0.61096323685947085</v>
      </c>
      <c r="W7" s="3"/>
      <c r="X7" s="8">
        <f>Y7*Z7*AA7</f>
        <v>9.3828980143711854E-2</v>
      </c>
      <c r="Y7" s="9">
        <f t="shared" si="7"/>
        <v>0.61096323685947085</v>
      </c>
      <c r="Z7" s="9">
        <f t="shared" si="8"/>
        <v>0.22487013186370802</v>
      </c>
      <c r="AA7" s="10">
        <f t="shared" si="9"/>
        <v>0.68295193969183787</v>
      </c>
      <c r="AC7" s="8">
        <f t="shared" si="10"/>
        <v>0.15357549273507876</v>
      </c>
      <c r="AD7" s="9">
        <v>1</v>
      </c>
      <c r="AE7" s="9">
        <f t="shared" si="11"/>
        <v>0.22487013186370802</v>
      </c>
      <c r="AF7" s="10">
        <f t="shared" si="12"/>
        <v>0.68295193969183787</v>
      </c>
      <c r="AG7" s="3"/>
      <c r="AI7" s="8">
        <f t="shared" si="13"/>
        <v>-7.0597368692187579E-2</v>
      </c>
      <c r="AJ7" s="9">
        <f t="shared" si="14"/>
        <v>0.43636363636363634</v>
      </c>
      <c r="AK7" s="9">
        <f t="shared" ref="AK7:AK12" si="29">$U7 * (1 - $U7)</f>
        <v>0.23768716006566898</v>
      </c>
      <c r="AL7" s="9">
        <f t="shared" si="15"/>
        <v>-4.4321282931241699</v>
      </c>
      <c r="AM7" s="9">
        <f t="shared" si="16"/>
        <v>0.22487013186370802</v>
      </c>
      <c r="AN7" s="10">
        <f t="shared" si="17"/>
        <v>0.68295193969183787</v>
      </c>
      <c r="AP7" s="8">
        <f t="shared" si="18"/>
        <v>-0.16178563658626322</v>
      </c>
      <c r="AQ7" s="9">
        <v>1</v>
      </c>
      <c r="AR7" s="9">
        <f t="shared" ref="AR7:AR12" si="30">$U7 * (1 - $U7)</f>
        <v>0.23768716006566898</v>
      </c>
      <c r="AS7" s="9">
        <f t="shared" si="19"/>
        <v>-4.4321282931241699</v>
      </c>
      <c r="AT7" s="9">
        <f t="shared" si="20"/>
        <v>0.22487013186370802</v>
      </c>
      <c r="AU7" s="10">
        <f t="shared" si="21"/>
        <v>0.68295193969183787</v>
      </c>
      <c r="AW7" s="8">
        <f t="shared" si="22"/>
        <v>-5.1477248004720109E-2</v>
      </c>
      <c r="AX7" s="9">
        <f t="shared" si="23"/>
        <v>0.31818181818181818</v>
      </c>
      <c r="AY7" s="9">
        <f t="shared" ref="AY7:AY12" si="31">$U7 * (1 - $U7)</f>
        <v>0.23768716006566898</v>
      </c>
      <c r="AZ7" s="9">
        <f t="shared" si="24"/>
        <v>-4.4321282931241699</v>
      </c>
      <c r="BA7" s="9">
        <f t="shared" si="25"/>
        <v>0.22487013186370802</v>
      </c>
      <c r="BB7" s="10">
        <f t="shared" si="26"/>
        <v>0.68295193969183787</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0.18889682037356018</v>
      </c>
      <c r="L8" s="6"/>
      <c r="M8" s="10">
        <f t="shared" si="3"/>
        <v>3.5682008747241062E-2</v>
      </c>
      <c r="O8" s="15" t="s">
        <v>7</v>
      </c>
      <c r="P8" s="34">
        <v>0.36854225903286753</v>
      </c>
      <c r="R8" s="8">
        <f t="shared" si="4"/>
        <v>-1.4571943291702181</v>
      </c>
      <c r="S8" s="9">
        <f t="shared" si="5"/>
        <v>1.3344127116573288</v>
      </c>
      <c r="T8" s="9">
        <f>1/(1+ EXP(-R8))</f>
        <v>0.18889682037356018</v>
      </c>
      <c r="U8" s="10">
        <f t="shared" si="28"/>
        <v>0.79156961228520306</v>
      </c>
      <c r="W8" s="3"/>
      <c r="X8" s="8">
        <f t="shared" si="6"/>
        <v>4.5818884166181184E-2</v>
      </c>
      <c r="Y8" s="9">
        <f t="shared" si="7"/>
        <v>0.79156961228520306</v>
      </c>
      <c r="Z8" s="9">
        <f t="shared" si="8"/>
        <v>0.15321481162631911</v>
      </c>
      <c r="AA8" s="10">
        <f t="shared" si="9"/>
        <v>0.37779364074712035</v>
      </c>
      <c r="AC8" s="8">
        <f t="shared" si="10"/>
        <v>5.7883581500691325E-2</v>
      </c>
      <c r="AD8" s="9">
        <v>1</v>
      </c>
      <c r="AE8" s="9">
        <f t="shared" si="11"/>
        <v>0.15321481162631911</v>
      </c>
      <c r="AF8" s="10">
        <f t="shared" si="12"/>
        <v>0.37779364074712035</v>
      </c>
      <c r="AG8" s="3"/>
      <c r="AI8" s="8">
        <f t="shared" si="13"/>
        <v>-3.4631212104838743E-2</v>
      </c>
      <c r="AJ8" s="9">
        <f t="shared" si="14"/>
        <v>0.81818181818181823</v>
      </c>
      <c r="AK8" s="9">
        <f t="shared" si="29"/>
        <v>0.16498716119185636</v>
      </c>
      <c r="AL8" s="9">
        <f t="shared" si="15"/>
        <v>-4.4321282931241699</v>
      </c>
      <c r="AM8" s="9">
        <f t="shared" si="16"/>
        <v>0.15321481162631911</v>
      </c>
      <c r="AN8" s="10">
        <f t="shared" si="17"/>
        <v>0.37779364074712035</v>
      </c>
      <c r="AP8" s="8">
        <f t="shared" si="18"/>
        <v>-4.2327037017025122E-2</v>
      </c>
      <c r="AQ8" s="9">
        <v>1</v>
      </c>
      <c r="AR8" s="9">
        <f t="shared" si="30"/>
        <v>0.16498716119185636</v>
      </c>
      <c r="AS8" s="9">
        <f t="shared" si="19"/>
        <v>-4.4321282931241699</v>
      </c>
      <c r="AT8" s="9">
        <f t="shared" si="20"/>
        <v>0.15321481162631911</v>
      </c>
      <c r="AU8" s="10">
        <f t="shared" si="21"/>
        <v>0.37779364074712035</v>
      </c>
      <c r="AW8" s="8">
        <f t="shared" si="22"/>
        <v>-1.4750331081690573E-2</v>
      </c>
      <c r="AX8" s="9">
        <f t="shared" si="23"/>
        <v>0.34848484848484851</v>
      </c>
      <c r="AY8" s="9">
        <f t="shared" si="31"/>
        <v>0.16498716119185636</v>
      </c>
      <c r="AZ8" s="9">
        <f t="shared" si="24"/>
        <v>-4.4321282931241699</v>
      </c>
      <c r="BA8" s="9">
        <f t="shared" si="25"/>
        <v>0.15321481162631911</v>
      </c>
      <c r="BB8" s="10">
        <f t="shared" si="26"/>
        <v>0.37779364074712035</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0.74993722930016105</v>
      </c>
      <c r="L9" s="6"/>
      <c r="M9" s="10">
        <f t="shared" si="3"/>
        <v>6.253138929008023E-2</v>
      </c>
      <c r="O9" s="15" t="s">
        <v>8</v>
      </c>
      <c r="P9" s="34">
        <v>2.0511437454163599</v>
      </c>
      <c r="R9" s="8">
        <f t="shared" si="4"/>
        <v>1.098277539615752</v>
      </c>
      <c r="S9" s="9">
        <f t="shared" si="5"/>
        <v>-1.2951010052674057</v>
      </c>
      <c r="T9" s="9">
        <f t="shared" si="27"/>
        <v>0.74993722930016105</v>
      </c>
      <c r="U9" s="10">
        <f t="shared" si="28"/>
        <v>0.21499066425465324</v>
      </c>
      <c r="W9" s="3"/>
      <c r="X9" s="8">
        <f t="shared" si="6"/>
        <v>-2.01638096438501E-2</v>
      </c>
      <c r="Y9" s="9">
        <f t="shared" si="7"/>
        <v>0.21499066425465324</v>
      </c>
      <c r="Z9" s="9">
        <f t="shared" si="8"/>
        <v>0.18753138140975872</v>
      </c>
      <c r="AA9" s="10">
        <f t="shared" si="9"/>
        <v>-0.50012554139967791</v>
      </c>
      <c r="AC9" s="8">
        <f t="shared" si="10"/>
        <v>-9.3789233656985077E-2</v>
      </c>
      <c r="AD9" s="9">
        <v>1</v>
      </c>
      <c r="AE9" s="9">
        <f t="shared" si="11"/>
        <v>0.18753138140975872</v>
      </c>
      <c r="AF9" s="10">
        <f t="shared" si="12"/>
        <v>-0.50012554139967791</v>
      </c>
      <c r="AG9" s="3"/>
      <c r="AI9" s="8">
        <f t="shared" si="13"/>
        <v>1.4031035685971374E-2</v>
      </c>
      <c r="AJ9" s="9">
        <f t="shared" si="14"/>
        <v>0.2</v>
      </c>
      <c r="AK9" s="9">
        <f t="shared" si="29"/>
        <v>0.16876967853799618</v>
      </c>
      <c r="AL9" s="9">
        <f t="shared" si="15"/>
        <v>-4.4321282931241699</v>
      </c>
      <c r="AM9" s="9">
        <f t="shared" si="16"/>
        <v>0.18753138140975872</v>
      </c>
      <c r="AN9" s="10">
        <f t="shared" si="17"/>
        <v>-0.50012554139967791</v>
      </c>
      <c r="AP9" s="8">
        <f t="shared" si="18"/>
        <v>7.0155178429856871E-2</v>
      </c>
      <c r="AQ9" s="9">
        <v>1</v>
      </c>
      <c r="AR9" s="9">
        <f t="shared" si="30"/>
        <v>0.16876967853799618</v>
      </c>
      <c r="AS9" s="9">
        <f t="shared" si="19"/>
        <v>-4.4321282931241699</v>
      </c>
      <c r="AT9" s="9">
        <f t="shared" si="20"/>
        <v>0.18753138140975872</v>
      </c>
      <c r="AU9" s="10">
        <f t="shared" si="21"/>
        <v>-0.50012554139967791</v>
      </c>
      <c r="AW9" s="8">
        <f t="shared" si="22"/>
        <v>4.6770118953237912E-2</v>
      </c>
      <c r="AX9" s="9">
        <f t="shared" si="23"/>
        <v>0.66666666666666663</v>
      </c>
      <c r="AY9" s="9">
        <f t="shared" si="31"/>
        <v>0.16876967853799618</v>
      </c>
      <c r="AZ9" s="9">
        <f t="shared" si="24"/>
        <v>-4.4321282931241699</v>
      </c>
      <c r="BA9" s="9">
        <f t="shared" si="25"/>
        <v>0.18753138140975872</v>
      </c>
      <c r="BB9" s="10">
        <f t="shared" si="26"/>
        <v>-0.50012554139967791</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0.81498070363086339</v>
      </c>
      <c r="L10" s="6"/>
      <c r="M10" s="10">
        <f t="shared" si="3"/>
        <v>3.4232140028930408E-2</v>
      </c>
      <c r="O10" s="16"/>
      <c r="P10" s="33"/>
      <c r="R10" s="8">
        <f t="shared" si="4"/>
        <v>1.4827043120970176</v>
      </c>
      <c r="S10" s="9">
        <f t="shared" si="5"/>
        <v>-1.9164828994472345</v>
      </c>
      <c r="T10" s="9">
        <f t="shared" si="27"/>
        <v>0.81498070363086339</v>
      </c>
      <c r="U10" s="10">
        <f t="shared" si="28"/>
        <v>0.12825428230522951</v>
      </c>
      <c r="W10" s="3"/>
      <c r="X10" s="8">
        <f t="shared" si="6"/>
        <v>-7.1562128001535627E-3</v>
      </c>
      <c r="Y10" s="9">
        <f t="shared" si="7"/>
        <v>0.12825428230522951</v>
      </c>
      <c r="Z10" s="9">
        <f t="shared" si="8"/>
        <v>0.1507871563402062</v>
      </c>
      <c r="AA10" s="10">
        <f t="shared" si="9"/>
        <v>-0.37003859273827322</v>
      </c>
      <c r="AC10" s="8">
        <f t="shared" si="10"/>
        <v>-5.5797067135135894E-2</v>
      </c>
      <c r="AD10" s="9">
        <v>1</v>
      </c>
      <c r="AE10" s="9">
        <f t="shared" si="11"/>
        <v>0.1507871563402062</v>
      </c>
      <c r="AF10" s="10">
        <f t="shared" si="12"/>
        <v>-0.37003859273827322</v>
      </c>
      <c r="AG10" s="3"/>
      <c r="AI10" s="8">
        <f t="shared" si="13"/>
        <v>1.0557035875659393E-2</v>
      </c>
      <c r="AJ10" s="9">
        <f t="shared" si="14"/>
        <v>0.38181818181818183</v>
      </c>
      <c r="AK10" s="9">
        <f t="shared" si="29"/>
        <v>0.1118051213756</v>
      </c>
      <c r="AL10" s="9">
        <f t="shared" si="15"/>
        <v>-4.4321282931241699</v>
      </c>
      <c r="AM10" s="9">
        <f t="shared" si="16"/>
        <v>0.1507871563402062</v>
      </c>
      <c r="AN10" s="10">
        <f t="shared" si="17"/>
        <v>-0.37003859273827322</v>
      </c>
      <c r="AP10" s="8">
        <f t="shared" si="18"/>
        <v>2.7649379674346032E-2</v>
      </c>
      <c r="AQ10" s="9">
        <v>1</v>
      </c>
      <c r="AR10" s="9">
        <f t="shared" si="30"/>
        <v>0.1118051213756</v>
      </c>
      <c r="AS10" s="9">
        <f t="shared" si="19"/>
        <v>-4.4321282931241699</v>
      </c>
      <c r="AT10" s="9">
        <f t="shared" si="20"/>
        <v>0.1507871563402062</v>
      </c>
      <c r="AU10" s="10">
        <f t="shared" si="21"/>
        <v>-0.37003859273827322</v>
      </c>
      <c r="AW10" s="8">
        <f t="shared" si="22"/>
        <v>2.7649379674346032E-2</v>
      </c>
      <c r="AX10" s="9">
        <f t="shared" si="23"/>
        <v>1</v>
      </c>
      <c r="AY10" s="9">
        <f t="shared" si="31"/>
        <v>0.1118051213756</v>
      </c>
      <c r="AZ10" s="9">
        <f t="shared" si="24"/>
        <v>-4.4321282931241699</v>
      </c>
      <c r="BA10" s="9">
        <f t="shared" si="25"/>
        <v>0.1507871563402062</v>
      </c>
      <c r="BB10" s="10">
        <f t="shared" si="26"/>
        <v>-0.37003859273827322</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0.65955495545087073</v>
      </c>
      <c r="L11" s="6"/>
      <c r="M11" s="10">
        <f t="shared" si="3"/>
        <v>0.11590282835805861</v>
      </c>
      <c r="R11" s="8">
        <f t="shared" si="4"/>
        <v>0.66131158141606616</v>
      </c>
      <c r="S11" s="9">
        <f t="shared" si="5"/>
        <v>-0.78342954142246679</v>
      </c>
      <c r="T11" s="9">
        <f t="shared" si="27"/>
        <v>0.65955495545087073</v>
      </c>
      <c r="U11" s="10">
        <f t="shared" si="28"/>
        <v>0.31358121247447301</v>
      </c>
      <c r="W11" s="3"/>
      <c r="X11" s="8">
        <f t="shared" si="6"/>
        <v>-4.7942983025099382E-2</v>
      </c>
      <c r="Y11" s="9">
        <f t="shared" si="7"/>
        <v>0.31358121247447301</v>
      </c>
      <c r="Z11" s="9">
        <f t="shared" si="8"/>
        <v>0.22454221619107065</v>
      </c>
      <c r="AA11" s="10">
        <f t="shared" si="9"/>
        <v>-0.68089008909825854</v>
      </c>
      <c r="AC11" s="8">
        <f t="shared" si="10"/>
        <v>-0.15288856958865851</v>
      </c>
      <c r="AD11" s="9">
        <v>1</v>
      </c>
      <c r="AE11" s="9">
        <f t="shared" si="11"/>
        <v>0.22454221619107065</v>
      </c>
      <c r="AF11" s="10">
        <f t="shared" si="12"/>
        <v>-0.68089008909825854</v>
      </c>
      <c r="AG11" s="3"/>
      <c r="AI11" s="8">
        <f t="shared" si="13"/>
        <v>6.0994641609926646E-2</v>
      </c>
      <c r="AJ11" s="9">
        <f t="shared" si="14"/>
        <v>0.41818181818181815</v>
      </c>
      <c r="AK11" s="9">
        <f t="shared" si="29"/>
        <v>0.21524803565751244</v>
      </c>
      <c r="AL11" s="9">
        <f t="shared" si="15"/>
        <v>-4.4321282931241699</v>
      </c>
      <c r="AM11" s="9">
        <f t="shared" si="16"/>
        <v>0.22454221619107065</v>
      </c>
      <c r="AN11" s="10">
        <f t="shared" si="17"/>
        <v>-0.68089008909825854</v>
      </c>
      <c r="AP11" s="8">
        <f t="shared" si="18"/>
        <v>0.14585675167591156</v>
      </c>
      <c r="AQ11" s="9">
        <v>1</v>
      </c>
      <c r="AR11" s="9">
        <f t="shared" si="30"/>
        <v>0.21524803565751244</v>
      </c>
      <c r="AS11" s="9">
        <f t="shared" si="19"/>
        <v>-4.4321282931241699</v>
      </c>
      <c r="AT11" s="9">
        <f t="shared" si="20"/>
        <v>0.22454221619107065</v>
      </c>
      <c r="AU11" s="10">
        <f t="shared" si="21"/>
        <v>-0.68089008909825854</v>
      </c>
      <c r="AW11" s="8">
        <f t="shared" si="22"/>
        <v>9.9447785233576058E-2</v>
      </c>
      <c r="AX11" s="9">
        <f t="shared" si="23"/>
        <v>0.68181818181818177</v>
      </c>
      <c r="AY11" s="9">
        <f t="shared" si="31"/>
        <v>0.21524803565751244</v>
      </c>
      <c r="AZ11" s="9">
        <f t="shared" si="24"/>
        <v>-4.4321282931241699</v>
      </c>
      <c r="BA11" s="9">
        <f t="shared" si="25"/>
        <v>0.22454221619107065</v>
      </c>
      <c r="BB11" s="10">
        <f t="shared" si="26"/>
        <v>-0.68089008909825854</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0.69136312374951203</v>
      </c>
      <c r="L12" s="6"/>
      <c r="M12" s="10">
        <f t="shared" si="3"/>
        <v>9.5256721381659026E-2</v>
      </c>
      <c r="O12" s="60" t="s">
        <v>71</v>
      </c>
      <c r="P12" s="61">
        <v>1</v>
      </c>
      <c r="R12" s="56">
        <f t="shared" si="4"/>
        <v>0.80649976234804299</v>
      </c>
      <c r="S12" s="57">
        <f>(G12 * $P$5) + (H12 * $P$6) + $P$8</f>
        <v>-0.94038245648879215</v>
      </c>
      <c r="T12" s="57">
        <f t="shared" ref="T12" si="33">1/(1+ EXP(-R12))</f>
        <v>0.69136312374951203</v>
      </c>
      <c r="U12" s="38">
        <f t="shared" ref="U12" si="34">1/(1+ EXP(-S12))</f>
        <v>0.28082309462909927</v>
      </c>
      <c r="W12" s="3"/>
      <c r="X12" s="8">
        <f t="shared" si="6"/>
        <v>-3.6988324353817152E-2</v>
      </c>
      <c r="Y12" s="9">
        <f t="shared" si="7"/>
        <v>0.28082309462909927</v>
      </c>
      <c r="Z12" s="9">
        <f t="shared" si="8"/>
        <v>0.21338015486882894</v>
      </c>
      <c r="AA12" s="10">
        <f t="shared" si="9"/>
        <v>-0.61727375250097594</v>
      </c>
      <c r="AC12" s="8">
        <f t="shared" si="10"/>
        <v>-0.13171396890512144</v>
      </c>
      <c r="AD12" s="9">
        <v>1</v>
      </c>
      <c r="AE12" s="9">
        <f t="shared" si="11"/>
        <v>0.21338015486882894</v>
      </c>
      <c r="AF12" s="10">
        <f t="shared" si="12"/>
        <v>-0.61727375250097594</v>
      </c>
      <c r="AG12" s="3"/>
      <c r="AI12" s="8">
        <f t="shared" si="13"/>
        <v>1.7149047786625304E-2</v>
      </c>
      <c r="AJ12" s="9">
        <f t="shared" si="14"/>
        <v>0.14545454545454545</v>
      </c>
      <c r="AK12" s="9">
        <f t="shared" si="29"/>
        <v>0.20196148415203521</v>
      </c>
      <c r="AL12" s="9">
        <f t="shared" si="15"/>
        <v>-4.4321282931241699</v>
      </c>
      <c r="AM12" s="9">
        <f t="shared" si="16"/>
        <v>0.21338015486882894</v>
      </c>
      <c r="AN12" s="10">
        <f t="shared" si="17"/>
        <v>-0.61727375250097594</v>
      </c>
      <c r="AP12" s="8">
        <f t="shared" si="18"/>
        <v>0.11789970353304897</v>
      </c>
      <c r="AQ12" s="9">
        <v>1</v>
      </c>
      <c r="AR12" s="9">
        <f t="shared" si="30"/>
        <v>0.20196148415203521</v>
      </c>
      <c r="AS12" s="9">
        <f t="shared" si="19"/>
        <v>-4.4321282931241699</v>
      </c>
      <c r="AT12" s="9">
        <f t="shared" si="20"/>
        <v>0.21338015486882894</v>
      </c>
      <c r="AU12" s="10">
        <f t="shared" si="21"/>
        <v>-0.61727375250097594</v>
      </c>
      <c r="AW12" s="8">
        <f t="shared" si="22"/>
        <v>6.0736210910964622E-2</v>
      </c>
      <c r="AX12" s="9">
        <f t="shared" si="23"/>
        <v>0.51515151515151514</v>
      </c>
      <c r="AY12" s="9">
        <f t="shared" si="31"/>
        <v>0.20196148415203521</v>
      </c>
      <c r="AZ12" s="9">
        <f t="shared" si="24"/>
        <v>-4.4321282931241699</v>
      </c>
      <c r="BA12" s="9">
        <f t="shared" si="25"/>
        <v>0.21338015486882894</v>
      </c>
      <c r="BB12" s="10">
        <f t="shared" si="26"/>
        <v>-0.61727375250097594</v>
      </c>
      <c r="BD12" s="9"/>
      <c r="BE12" s="9"/>
      <c r="BF12" s="9"/>
      <c r="BG12" s="9"/>
      <c r="BH12" s="9"/>
      <c r="BI12" s="9"/>
      <c r="BJ12" s="6"/>
      <c r="BK12" s="6"/>
    </row>
    <row r="13" spans="3:63" ht="15" thickBot="1" x14ac:dyDescent="0.4">
      <c r="K13" s="5"/>
      <c r="L13" s="6"/>
      <c r="M13" s="10"/>
      <c r="O13" s="62" t="s">
        <v>70</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0.62929606508084301</v>
      </c>
      <c r="W14" s="3" t="s">
        <v>49</v>
      </c>
      <c r="X14" s="11" t="s">
        <v>48</v>
      </c>
      <c r="Y14" s="73">
        <f>SUM(X5:X12)</f>
        <v>0.16186467664566626</v>
      </c>
      <c r="Z14" s="13" t="s">
        <v>76</v>
      </c>
      <c r="AA14" s="74">
        <f>P7-(Y14*P12)</f>
        <v>-4.5939929697698361</v>
      </c>
      <c r="AB14" s="4"/>
      <c r="AC14" s="11" t="s">
        <v>48</v>
      </c>
      <c r="AD14" s="73">
        <f>SUM(AC5:AC12)</f>
        <v>-4.7343509044608656E-3</v>
      </c>
      <c r="AE14" s="72" t="s">
        <v>75</v>
      </c>
      <c r="AF14" s="74">
        <f>P9-(AD14*P12)</f>
        <v>2.055878096320821</v>
      </c>
      <c r="AG14" s="4"/>
      <c r="AH14" s="4"/>
      <c r="AI14" s="11" t="s">
        <v>48</v>
      </c>
      <c r="AJ14" s="73">
        <f>SUM(AI5:AI12)</f>
        <v>-0.14358598652338234</v>
      </c>
      <c r="AK14" s="13"/>
      <c r="AL14" s="13"/>
      <c r="AM14" s="72" t="s">
        <v>74</v>
      </c>
      <c r="AN14" s="74">
        <f>P6-(AJ14*P12)</f>
        <v>2.7156272283827003</v>
      </c>
      <c r="AO14" s="4"/>
      <c r="AP14" s="11" t="s">
        <v>48</v>
      </c>
      <c r="AQ14" s="73">
        <f>SUM(AP5:AP12)</f>
        <v>-5.9335551115751325E-2</v>
      </c>
      <c r="AR14" s="13"/>
      <c r="AS14" s="13"/>
      <c r="AT14" s="72" t="s">
        <v>77</v>
      </c>
      <c r="AU14" s="74">
        <f>P8-(P12*AQ14)</f>
        <v>0.42787781014861886</v>
      </c>
      <c r="AV14" s="4"/>
      <c r="AW14" s="11" t="s">
        <v>48</v>
      </c>
      <c r="AX14" s="73">
        <f>SUM(AW5:AW12)</f>
        <v>6.0069512009987197E-2</v>
      </c>
      <c r="AY14" s="13"/>
      <c r="AZ14" s="13"/>
      <c r="BA14" s="72" t="s">
        <v>78</v>
      </c>
      <c r="BB14" s="74">
        <f>P5-(P12*AX14)</f>
        <v>-3.3271467810181927</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79</v>
      </c>
      <c r="AD17" t="s">
        <v>20</v>
      </c>
      <c r="AW17" t="s">
        <v>30</v>
      </c>
      <c r="AX17" t="s">
        <v>20</v>
      </c>
    </row>
    <row r="18" spans="3:51" x14ac:dyDescent="0.35">
      <c r="AI18" t="s">
        <v>29</v>
      </c>
      <c r="AJ18" t="s">
        <v>20</v>
      </c>
      <c r="AP18" t="s">
        <v>81</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80</v>
      </c>
      <c r="AD23" t="s">
        <v>20</v>
      </c>
      <c r="AJ23" t="s">
        <v>36</v>
      </c>
      <c r="AK23" t="s">
        <v>20</v>
      </c>
      <c r="AQ23" t="s">
        <v>37</v>
      </c>
      <c r="AR23" t="s">
        <v>20</v>
      </c>
      <c r="AX23" t="s">
        <v>38</v>
      </c>
      <c r="AY23" t="s">
        <v>20</v>
      </c>
    </row>
    <row r="24" spans="3:51" x14ac:dyDescent="0.35">
      <c r="M24" s="2"/>
    </row>
    <row r="26" spans="3:51" x14ac:dyDescent="0.35">
      <c r="M26" s="2"/>
    </row>
    <row r="27" spans="3:51" x14ac:dyDescent="0.35">
      <c r="M27" s="2"/>
      <c r="X27" t="s">
        <v>24</v>
      </c>
      <c r="Y27" t="s">
        <v>20</v>
      </c>
    </row>
    <row r="28" spans="3:51" x14ac:dyDescent="0.35">
      <c r="AJ28" t="s">
        <v>35</v>
      </c>
      <c r="AK28" t="s">
        <v>20</v>
      </c>
    </row>
    <row r="29" spans="3:51" x14ac:dyDescent="0.35">
      <c r="M29" s="2"/>
    </row>
    <row r="30" spans="3:51" x14ac:dyDescent="0.35">
      <c r="M30" s="2"/>
    </row>
    <row r="32" spans="3:51" x14ac:dyDescent="0.35">
      <c r="C32" t="s">
        <v>20</v>
      </c>
      <c r="X32" t="s">
        <v>25</v>
      </c>
      <c r="Y32" t="s">
        <v>20</v>
      </c>
    </row>
    <row r="33" spans="3:37" x14ac:dyDescent="0.35">
      <c r="AJ33" t="s">
        <v>34</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84" t="s">
        <v>61</v>
      </c>
      <c r="C97" s="85"/>
      <c r="D97" s="86"/>
      <c r="F97" s="39" t="s">
        <v>65</v>
      </c>
      <c r="G97" s="40"/>
      <c r="H97" s="41" t="s">
        <v>64</v>
      </c>
      <c r="J97" s="4" t="s">
        <v>66</v>
      </c>
    </row>
    <row r="98" spans="2:24" x14ac:dyDescent="0.35">
      <c r="B98" s="36" t="s">
        <v>62</v>
      </c>
      <c r="C98" s="6"/>
      <c r="D98" s="10">
        <f ca="1">RAND()*($B$102-$B$99)+$B$99</f>
        <v>0.99707572342759665</v>
      </c>
      <c r="F98" s="42">
        <v>1.68</v>
      </c>
      <c r="G98" s="6"/>
      <c r="H98" s="10">
        <v>-0.4</v>
      </c>
      <c r="J98">
        <v>-3.8071492300135543</v>
      </c>
    </row>
    <row r="99" spans="2:24" x14ac:dyDescent="0.35">
      <c r="B99" s="36">
        <v>-2</v>
      </c>
      <c r="C99" s="6"/>
      <c r="D99" s="10">
        <f ca="1">RAND()*($B$102-$B$99)+$B$99</f>
        <v>1.4808439616527038</v>
      </c>
      <c r="F99" s="42">
        <v>1.1499999999999999</v>
      </c>
      <c r="G99" s="6"/>
      <c r="H99" s="10">
        <v>-1.8</v>
      </c>
      <c r="J99">
        <v>3.8345916339822104</v>
      </c>
    </row>
    <row r="100" spans="2:24" x14ac:dyDescent="0.35">
      <c r="B100" s="36"/>
      <c r="C100" s="6"/>
      <c r="D100" s="10">
        <f t="shared" ref="D100:D102" ca="1" si="35">RAND()*($B$102-$B$99)+$B$99</f>
        <v>0.73501511182066492</v>
      </c>
      <c r="F100" s="42">
        <v>0.26</v>
      </c>
      <c r="G100" s="6"/>
      <c r="H100" s="10">
        <v>-2</v>
      </c>
      <c r="J100">
        <v>-5.6550937976002702</v>
      </c>
    </row>
    <row r="101" spans="2:24" x14ac:dyDescent="0.35">
      <c r="B101" s="36" t="s">
        <v>63</v>
      </c>
      <c r="C101" s="6"/>
      <c r="D101" s="10">
        <f t="shared" ca="1" si="35"/>
        <v>1.7233924840055366</v>
      </c>
      <c r="F101" s="42">
        <v>0.39</v>
      </c>
      <c r="G101" s="6"/>
      <c r="H101" s="10">
        <v>1.8</v>
      </c>
      <c r="J101">
        <v>0.16955386845673706</v>
      </c>
    </row>
    <row r="102" spans="2:24" x14ac:dyDescent="0.35">
      <c r="B102" s="36">
        <f>2</f>
        <v>2</v>
      </c>
      <c r="C102" s="6"/>
      <c r="D102" s="10">
        <f t="shared" ca="1" si="35"/>
        <v>0.73848347418239246</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1" t="s">
        <v>50</v>
      </c>
      <c r="C108" s="82"/>
      <c r="D108" s="82"/>
      <c r="E108" s="82"/>
      <c r="F108" s="82"/>
      <c r="G108" s="82"/>
      <c r="H108" s="82"/>
      <c r="I108" s="82"/>
      <c r="J108" s="82"/>
      <c r="K108" s="82"/>
      <c r="L108" s="82"/>
      <c r="M108" s="82"/>
      <c r="N108" s="82"/>
      <c r="O108" s="82"/>
      <c r="P108" s="82"/>
      <c r="Q108" s="82"/>
      <c r="R108" s="82"/>
      <c r="S108" s="82"/>
      <c r="T108" s="82"/>
      <c r="U108" s="82"/>
      <c r="V108" s="82"/>
      <c r="W108" s="82"/>
      <c r="X108" s="83"/>
    </row>
    <row r="109" spans="2:24" x14ac:dyDescent="0.35">
      <c r="B109" s="75" t="s">
        <v>2</v>
      </c>
      <c r="C109" s="20">
        <v>1</v>
      </c>
      <c r="D109" s="25">
        <f>1/(1+EXP(-D135))</f>
        <v>0.10353356017864142</v>
      </c>
      <c r="E109" s="24">
        <f t="shared" ref="E109:W110" si="36">1/(1+EXP(-E135))</f>
        <v>0.10703346476277625</v>
      </c>
      <c r="F109" s="24">
        <f t="shared" si="36"/>
        <v>0.11120526386385678</v>
      </c>
      <c r="G109" s="24">
        <f t="shared" si="36"/>
        <v>0.11618419794810531</v>
      </c>
      <c r="H109" s="24">
        <f t="shared" si="36"/>
        <v>0.12213338129449974</v>
      </c>
      <c r="I109" s="24">
        <f t="shared" si="36"/>
        <v>0.12924880587034449</v>
      </c>
      <c r="J109" s="24">
        <f t="shared" si="36"/>
        <v>0.13776440718886118</v>
      </c>
      <c r="K109" s="24">
        <f t="shared" si="36"/>
        <v>0.14795644751816261</v>
      </c>
      <c r="L109" s="24">
        <f t="shared" si="36"/>
        <v>0.16014590034507781</v>
      </c>
      <c r="M109" s="24">
        <f t="shared" si="36"/>
        <v>0.17469672206968095</v>
      </c>
      <c r="N109" s="24">
        <f t="shared" si="36"/>
        <v>0.19200692623397256</v>
      </c>
      <c r="O109" s="24">
        <f t="shared" si="36"/>
        <v>0.21248846825473622</v>
      </c>
      <c r="P109" s="24">
        <f t="shared" si="36"/>
        <v>0.23653165428014503</v>
      </c>
      <c r="Q109" s="24">
        <f t="shared" si="36"/>
        <v>0.2644510486440681</v>
      </c>
      <c r="R109" s="24">
        <f t="shared" si="36"/>
        <v>0.29641383196852339</v>
      </c>
      <c r="S109" s="24">
        <f t="shared" si="36"/>
        <v>0.33235893021876045</v>
      </c>
      <c r="T109" s="24">
        <f t="shared" si="36"/>
        <v>0.37192486439107453</v>
      </c>
      <c r="U109" s="24">
        <f t="shared" si="36"/>
        <v>0.41441200669819778</v>
      </c>
      <c r="V109" s="24">
        <f t="shared" si="36"/>
        <v>0.4588042302593614</v>
      </c>
      <c r="W109" s="24">
        <f t="shared" si="36"/>
        <v>0.50386092210133182</v>
      </c>
      <c r="X109" s="26">
        <f>1/(1+EXP(-X135))</f>
        <v>0.54826559577822198</v>
      </c>
    </row>
    <row r="110" spans="2:24" x14ac:dyDescent="0.35">
      <c r="B110" s="76"/>
      <c r="C110" s="17">
        <v>0.95</v>
      </c>
      <c r="D110" s="27">
        <f>1/(1+EXP(-D136))</f>
        <v>0.10623674544391308</v>
      </c>
      <c r="E110" s="23">
        <f t="shared" si="36"/>
        <v>0.11025513532605154</v>
      </c>
      <c r="F110" s="23">
        <f t="shared" si="36"/>
        <v>0.11504971782134062</v>
      </c>
      <c r="G110" s="23">
        <f t="shared" si="36"/>
        <v>0.12077726927689776</v>
      </c>
      <c r="H110" s="23">
        <f t="shared" si="36"/>
        <v>0.1276263569411161</v>
      </c>
      <c r="I110" s="23">
        <f t="shared" si="36"/>
        <v>0.13582243869261576</v>
      </c>
      <c r="J110" s="23">
        <f t="shared" si="36"/>
        <v>0.14563247895712522</v>
      </c>
      <c r="K110" s="23">
        <f t="shared" si="36"/>
        <v>0.15736790503727113</v>
      </c>
      <c r="L110" s="23">
        <f t="shared" si="36"/>
        <v>0.17138397780640674</v>
      </c>
      <c r="M110" s="23">
        <f t="shared" si="36"/>
        <v>0.18807270509995819</v>
      </c>
      <c r="N110" s="23">
        <f t="shared" si="36"/>
        <v>0.20784547189179842</v>
      </c>
      <c r="O110" s="23">
        <f t="shared" si="36"/>
        <v>0.23110107088774851</v>
      </c>
      <c r="P110" s="23">
        <f t="shared" si="36"/>
        <v>0.25817565105547458</v>
      </c>
      <c r="Q110" s="23">
        <f t="shared" si="36"/>
        <v>0.28927441183110963</v>
      </c>
      <c r="R110" s="23">
        <f t="shared" si="36"/>
        <v>0.32439152796775189</v>
      </c>
      <c r="S110" s="23">
        <f t="shared" si="36"/>
        <v>0.36323417421463194</v>
      </c>
      <c r="T110" s="23">
        <f t="shared" si="36"/>
        <v>0.40517516164869655</v>
      </c>
      <c r="U110" s="23">
        <f t="shared" si="36"/>
        <v>0.44926034780310226</v>
      </c>
      <c r="V110" s="23">
        <f t="shared" si="36"/>
        <v>0.494285910609499</v>
      </c>
      <c r="W110" s="23">
        <f t="shared" si="36"/>
        <v>0.53893739928742512</v>
      </c>
      <c r="X110" s="28">
        <f>1/(1+EXP(-X136))</f>
        <v>0.58195735314950625</v>
      </c>
    </row>
    <row r="111" spans="2:24" x14ac:dyDescent="0.35">
      <c r="B111" s="76"/>
      <c r="C111" s="17">
        <v>0.9</v>
      </c>
      <c r="D111" s="27">
        <f t="shared" ref="D111:X111" si="37">1/(1+EXP(-D137))</f>
        <v>0.10934003928392109</v>
      </c>
      <c r="E111" s="23">
        <f t="shared" si="37"/>
        <v>0.11395734767960619</v>
      </c>
      <c r="F111" s="23">
        <f t="shared" si="37"/>
        <v>0.11947178277255553</v>
      </c>
      <c r="G111" s="23">
        <f t="shared" si="37"/>
        <v>0.12606472014737716</v>
      </c>
      <c r="H111" s="23">
        <f t="shared" si="37"/>
        <v>0.1339533530781154</v>
      </c>
      <c r="I111" s="23">
        <f t="shared" si="37"/>
        <v>0.14339548877714564</v>
      </c>
      <c r="J111" s="23">
        <f t="shared" si="37"/>
        <v>0.1546929901962236</v>
      </c>
      <c r="K111" s="23">
        <f t="shared" si="37"/>
        <v>0.16819211592067915</v>
      </c>
      <c r="L111" s="23">
        <f t="shared" si="37"/>
        <v>0.18427809809749762</v>
      </c>
      <c r="M111" s="23">
        <f t="shared" si="37"/>
        <v>0.20336031811112235</v>
      </c>
      <c r="N111" s="23">
        <f t="shared" si="37"/>
        <v>0.22584379230994375</v>
      </c>
      <c r="O111" s="23">
        <f t="shared" si="37"/>
        <v>0.25208314108522362</v>
      </c>
      <c r="P111" s="23">
        <f t="shared" si="37"/>
        <v>0.28231790140917906</v>
      </c>
      <c r="Q111" s="23">
        <f t="shared" si="37"/>
        <v>0.31659396675589346</v>
      </c>
      <c r="R111" s="23">
        <f t="shared" si="37"/>
        <v>0.35468492128416979</v>
      </c>
      <c r="S111" s="23">
        <f t="shared" si="37"/>
        <v>0.39603628936130753</v>
      </c>
      <c r="T111" s="23">
        <f t="shared" si="37"/>
        <v>0.43975943794511912</v>
      </c>
      <c r="U111" s="23">
        <f t="shared" si="37"/>
        <v>0.48469375522565372</v>
      </c>
      <c r="V111" s="23">
        <f t="shared" si="37"/>
        <v>0.52953458754542881</v>
      </c>
      <c r="W111" s="23">
        <f t="shared" si="37"/>
        <v>0.57299848020793642</v>
      </c>
      <c r="X111" s="28">
        <f t="shared" si="37"/>
        <v>0.6139810735980139</v>
      </c>
    </row>
    <row r="112" spans="2:24" x14ac:dyDescent="0.35">
      <c r="B112" s="76"/>
      <c r="C112" s="17">
        <v>0.85</v>
      </c>
      <c r="D112" s="27">
        <f t="shared" ref="D112:X112" si="38">1/(1+EXP(-D138))</f>
        <v>0.11290546929389424</v>
      </c>
      <c r="E112" s="23">
        <f t="shared" si="38"/>
        <v>0.11821497809314015</v>
      </c>
      <c r="F112" s="23">
        <f>1/(1+EXP(-F138))</f>
        <v>0.12456157717274052</v>
      </c>
      <c r="G112" s="23">
        <f t="shared" si="38"/>
        <v>0.13215441592891877</v>
      </c>
      <c r="H112" s="23">
        <f t="shared" si="38"/>
        <v>0.14124230631251142</v>
      </c>
      <c r="I112" s="23">
        <f t="shared" si="38"/>
        <v>0.15211757183430655</v>
      </c>
      <c r="J112" s="23">
        <f t="shared" si="38"/>
        <v>0.16511723663505415</v>
      </c>
      <c r="K112" s="23">
        <f t="shared" si="38"/>
        <v>0.18061910218720786</v>
      </c>
      <c r="L112" s="23">
        <f t="shared" si="38"/>
        <v>0.19902927061951464</v>
      </c>
      <c r="M112" s="23">
        <f t="shared" si="38"/>
        <v>0.22075690437695439</v>
      </c>
      <c r="N112" s="23">
        <f t="shared" si="38"/>
        <v>0.24617215208108725</v>
      </c>
      <c r="O112" s="23">
        <f t="shared" si="38"/>
        <v>0.27554528359419261</v>
      </c>
      <c r="P112" s="23">
        <f t="shared" si="38"/>
        <v>0.30897026541842232</v>
      </c>
      <c r="Q112" s="23">
        <f t="shared" si="38"/>
        <v>0.34628446567781668</v>
      </c>
      <c r="R112" s="23">
        <f t="shared" si="38"/>
        <v>0.38700577198662378</v>
      </c>
      <c r="S112" s="23">
        <f t="shared" si="38"/>
        <v>0.43031388098872525</v>
      </c>
      <c r="T112" s="23">
        <f t="shared" si="38"/>
        <v>0.47509728874356671</v>
      </c>
      <c r="U112" s="23">
        <f t="shared" si="38"/>
        <v>0.52006878861835693</v>
      </c>
      <c r="V112" s="23">
        <f t="shared" si="38"/>
        <v>0.56392623426850386</v>
      </c>
      <c r="W112" s="23">
        <f t="shared" si="38"/>
        <v>0.60551587264083018</v>
      </c>
      <c r="X112" s="28">
        <f t="shared" si="38"/>
        <v>0.64395482345565924</v>
      </c>
    </row>
    <row r="113" spans="2:24" x14ac:dyDescent="0.35">
      <c r="B113" s="76"/>
      <c r="C113" s="17">
        <v>0.8</v>
      </c>
      <c r="D113" s="27">
        <f t="shared" ref="D113:X113" si="39">1/(1+EXP(-D139))</f>
        <v>0.11700498498954957</v>
      </c>
      <c r="E113" s="23">
        <f t="shared" si="39"/>
        <v>0.12311469329225863</v>
      </c>
      <c r="F113" s="23">
        <f t="shared" si="39"/>
        <v>0.13042298402630548</v>
      </c>
      <c r="G113" s="23">
        <f t="shared" si="39"/>
        <v>0.13916985365203352</v>
      </c>
      <c r="H113" s="23">
        <f t="shared" si="39"/>
        <v>0.14963814881343238</v>
      </c>
      <c r="I113" s="23">
        <f t="shared" si="39"/>
        <v>0.16215549411226321</v>
      </c>
      <c r="J113" s="23">
        <f t="shared" si="39"/>
        <v>0.17709171123573353</v>
      </c>
      <c r="K113" s="23">
        <f t="shared" si="39"/>
        <v>0.19484849630874077</v>
      </c>
      <c r="L113" s="23">
        <f t="shared" si="39"/>
        <v>0.21583726224550545</v>
      </c>
      <c r="M113" s="23">
        <f t="shared" si="39"/>
        <v>0.24044092136912995</v>
      </c>
      <c r="N113" s="23">
        <f t="shared" si="39"/>
        <v>0.26895697632564275</v>
      </c>
      <c r="O113" s="23">
        <f t="shared" si="39"/>
        <v>0.30152375421572769</v>
      </c>
      <c r="P113" s="23">
        <f t="shared" si="39"/>
        <v>0.33803945949588421</v>
      </c>
      <c r="Q113" s="23">
        <f t="shared" si="39"/>
        <v>0.37809341152467779</v>
      </c>
      <c r="R113" s="23">
        <f t="shared" si="39"/>
        <v>0.4209357490058328</v>
      </c>
      <c r="S113" s="23">
        <f t="shared" si="39"/>
        <v>0.46550939001821889</v>
      </c>
      <c r="T113" s="23">
        <f t="shared" si="39"/>
        <v>0.51055201446576703</v>
      </c>
      <c r="U113" s="23">
        <f t="shared" si="39"/>
        <v>0.55475034295001502</v>
      </c>
      <c r="V113" s="23">
        <f t="shared" si="39"/>
        <v>0.59690686632120182</v>
      </c>
      <c r="W113" s="23">
        <f t="shared" si="39"/>
        <v>0.63607395401938516</v>
      </c>
      <c r="X113" s="28">
        <f t="shared" si="39"/>
        <v>0.67162518527976622</v>
      </c>
    </row>
    <row r="114" spans="2:24" x14ac:dyDescent="0.35">
      <c r="B114" s="76"/>
      <c r="C114" s="17">
        <v>0.75</v>
      </c>
      <c r="D114" s="27">
        <f t="shared" ref="D114:X114" si="40">1/(1+EXP(-D140))</f>
        <v>0.12172191533748386</v>
      </c>
      <c r="E114" s="23">
        <f t="shared" si="40"/>
        <v>0.12875650409313749</v>
      </c>
      <c r="F114" s="23">
        <f t="shared" si="40"/>
        <v>0.13717514605226472</v>
      </c>
      <c r="G114" s="23">
        <f t="shared" si="40"/>
        <v>0.14725130625717703</v>
      </c>
      <c r="H114" s="23">
        <f t="shared" si="40"/>
        <v>0.15930310463946157</v>
      </c>
      <c r="I114" s="23">
        <f t="shared" si="40"/>
        <v>0.17369193096978536</v>
      </c>
      <c r="J114" s="23">
        <f t="shared" si="40"/>
        <v>0.19081408856834273</v>
      </c>
      <c r="K114" s="23">
        <f t="shared" si="40"/>
        <v>0.21108152205546069</v>
      </c>
      <c r="L114" s="23">
        <f t="shared" si="40"/>
        <v>0.23488732700991849</v>
      </c>
      <c r="M114" s="23">
        <f t="shared" si="40"/>
        <v>0.26255286666501942</v>
      </c>
      <c r="N114" s="23">
        <f t="shared" si="40"/>
        <v>0.29425709437199854</v>
      </c>
      <c r="O114" s="23">
        <f t="shared" si="40"/>
        <v>0.3299558395997686</v>
      </c>
      <c r="P114" s="23">
        <f t="shared" si="40"/>
        <v>0.36930838956011675</v>
      </c>
      <c r="Q114" s="23">
        <f t="shared" si="40"/>
        <v>0.41163673818626351</v>
      </c>
      <c r="R114" s="23">
        <f t="shared" si="40"/>
        <v>0.45594290642213414</v>
      </c>
      <c r="S114" s="23">
        <f t="shared" si="40"/>
        <v>0.50099659548322395</v>
      </c>
      <c r="T114" s="23">
        <f t="shared" si="40"/>
        <v>0.54548111180497683</v>
      </c>
      <c r="U114" s="23">
        <f t="shared" si="40"/>
        <v>0.58816137352082698</v>
      </c>
      <c r="V114" s="23">
        <f t="shared" si="40"/>
        <v>0.62802824308495431</v>
      </c>
      <c r="W114" s="23">
        <f t="shared" si="40"/>
        <v>0.66438450589128173</v>
      </c>
      <c r="X114" s="28">
        <f t="shared" si="40"/>
        <v>0.69686214523892842</v>
      </c>
    </row>
    <row r="115" spans="2:24" x14ac:dyDescent="0.35">
      <c r="B115" s="76"/>
      <c r="C115" s="17">
        <v>0.7</v>
      </c>
      <c r="D115" s="27">
        <f t="shared" ref="D115:X115" si="41">1/(1+EXP(-D141))</f>
        <v>0.12715251131084582</v>
      </c>
      <c r="E115" s="23">
        <f t="shared" si="41"/>
        <v>0.13525529190008204</v>
      </c>
      <c r="F115" s="23">
        <f t="shared" si="41"/>
        <v>0.14495371819017</v>
      </c>
      <c r="G115" s="23">
        <f t="shared" si="41"/>
        <v>0.15655635363139542</v>
      </c>
      <c r="H115" s="23">
        <f t="shared" si="41"/>
        <v>0.17041579232897114</v>
      </c>
      <c r="I115" s="23">
        <f t="shared" si="41"/>
        <v>0.18692208874423935</v>
      </c>
      <c r="J115" s="23">
        <f t="shared" si="41"/>
        <v>0.20648617094818869</v>
      </c>
      <c r="K115" s="23">
        <f t="shared" si="41"/>
        <v>0.22950892395767322</v>
      </c>
      <c r="L115" s="23">
        <f t="shared" si="41"/>
        <v>0.25633234632632923</v>
      </c>
      <c r="M115" s="23">
        <f t="shared" si="41"/>
        <v>0.28717230180455455</v>
      </c>
      <c r="N115" s="23">
        <f t="shared" si="41"/>
        <v>0.32203882688486807</v>
      </c>
      <c r="O115" s="23">
        <f t="shared" si="41"/>
        <v>0.36065923400098671</v>
      </c>
      <c r="P115" s="23">
        <f t="shared" si="41"/>
        <v>0.40242810588317196</v>
      </c>
      <c r="Q115" s="23">
        <f t="shared" si="41"/>
        <v>0.44641057655753297</v>
      </c>
      <c r="R115" s="23">
        <f t="shared" si="41"/>
        <v>0.49141511078597122</v>
      </c>
      <c r="S115" s="23">
        <f t="shared" si="41"/>
        <v>0.53612938026016221</v>
      </c>
      <c r="T115" s="23">
        <f t="shared" si="41"/>
        <v>0.5792873943795801</v>
      </c>
      <c r="U115" s="23">
        <f t="shared" si="41"/>
        <v>0.61982243615708343</v>
      </c>
      <c r="V115" s="23">
        <f t="shared" si="41"/>
        <v>0.65696722639169391</v>
      </c>
      <c r="W115" s="23">
        <f t="shared" si="41"/>
        <v>0.69028539153679647</v>
      </c>
      <c r="X115" s="28">
        <f t="shared" si="41"/>
        <v>0.71964290579785428</v>
      </c>
    </row>
    <row r="116" spans="2:24" x14ac:dyDescent="0.35">
      <c r="B116" s="76"/>
      <c r="C116" s="17">
        <v>0.65</v>
      </c>
      <c r="D116" s="27">
        <f t="shared" ref="D116:X116" si="42">1/(1+EXP(-D142))</f>
        <v>0.13340749228018473</v>
      </c>
      <c r="E116" s="23">
        <f t="shared" si="42"/>
        <v>0.14274214948157449</v>
      </c>
      <c r="F116" s="23">
        <f t="shared" si="42"/>
        <v>0.15391160154416883</v>
      </c>
      <c r="G116" s="23">
        <f t="shared" si="42"/>
        <v>0.16725936330075625</v>
      </c>
      <c r="H116" s="23">
        <f t="shared" si="42"/>
        <v>0.18316850576957422</v>
      </c>
      <c r="I116" s="23">
        <f t="shared" si="42"/>
        <v>0.20204755534316166</v>
      </c>
      <c r="J116" s="23">
        <f t="shared" si="42"/>
        <v>0.22430297931704526</v>
      </c>
      <c r="K116" s="23">
        <f t="shared" si="42"/>
        <v>0.25029434814725804</v>
      </c>
      <c r="L116" s="23">
        <f t="shared" si="42"/>
        <v>0.28027077444790016</v>
      </c>
      <c r="M116" s="23">
        <f t="shared" si="42"/>
        <v>0.31429293169633715</v>
      </c>
      <c r="N116" s="23">
        <f t="shared" si="42"/>
        <v>0.35215379294218585</v>
      </c>
      <c r="O116" s="23">
        <f t="shared" si="42"/>
        <v>0.39332061307295391</v>
      </c>
      <c r="P116" s="23">
        <f t="shared" si="42"/>
        <v>0.43692495425701455</v>
      </c>
      <c r="Q116" s="23">
        <f t="shared" si="42"/>
        <v>0.48182031508212508</v>
      </c>
      <c r="R116" s="23">
        <f t="shared" si="42"/>
        <v>0.52670647109765012</v>
      </c>
      <c r="S116" s="23">
        <f t="shared" si="42"/>
        <v>0.57029359175439598</v>
      </c>
      <c r="T116" s="23">
        <f t="shared" si="42"/>
        <v>0.61146197189464646</v>
      </c>
      <c r="U116" s="23">
        <f t="shared" si="42"/>
        <v>0.64937565513175477</v>
      </c>
      <c r="V116" s="23">
        <f t="shared" si="42"/>
        <v>0.68352852789932483</v>
      </c>
      <c r="W116" s="23">
        <f t="shared" si="42"/>
        <v>0.71372686901870352</v>
      </c>
      <c r="X116" s="28">
        <f t="shared" si="42"/>
        <v>0.74002967840961131</v>
      </c>
    </row>
    <row r="117" spans="2:24" x14ac:dyDescent="0.35">
      <c r="B117" s="76"/>
      <c r="C117" s="17">
        <v>0.6</v>
      </c>
      <c r="D117" s="27">
        <f t="shared" ref="D117:X117" si="43">1/(1+EXP(-D143))</f>
        <v>0.14061345716509854</v>
      </c>
      <c r="E117" s="23">
        <f t="shared" si="43"/>
        <v>0.15136528878936656</v>
      </c>
      <c r="F117" s="23">
        <f t="shared" si="43"/>
        <v>0.16421875932577057</v>
      </c>
      <c r="G117" s="23">
        <f t="shared" si="43"/>
        <v>0.17954933401182505</v>
      </c>
      <c r="H117" s="23">
        <f t="shared" si="43"/>
        <v>0.19776190740369046</v>
      </c>
      <c r="I117" s="23">
        <f t="shared" si="43"/>
        <v>0.21926650643923074</v>
      </c>
      <c r="J117" s="23">
        <f t="shared" si="43"/>
        <v>0.24443738302459966</v>
      </c>
      <c r="K117" s="23">
        <f t="shared" si="43"/>
        <v>0.27355332257408987</v>
      </c>
      <c r="L117" s="23">
        <f t="shared" si="43"/>
        <v>0.30672196492454296</v>
      </c>
      <c r="M117" s="23">
        <f t="shared" si="43"/>
        <v>0.3437992156472845</v>
      </c>
      <c r="N117" s="23">
        <f t="shared" si="43"/>
        <v>0.38432447283224658</v>
      </c>
      <c r="O117" s="23">
        <f t="shared" si="43"/>
        <v>0.42749833487797839</v>
      </c>
      <c r="P117" s="23">
        <f t="shared" si="43"/>
        <v>0.47222506306324968</v>
      </c>
      <c r="Q117" s="23">
        <f t="shared" si="43"/>
        <v>0.5172241339071213</v>
      </c>
      <c r="R117" s="23">
        <f t="shared" si="43"/>
        <v>0.5611892657419687</v>
      </c>
      <c r="S117" s="23">
        <f t="shared" si="43"/>
        <v>0.60295298715578016</v>
      </c>
      <c r="T117" s="23">
        <f t="shared" si="43"/>
        <v>0.6416127317605842</v>
      </c>
      <c r="U117" s="23">
        <f t="shared" si="43"/>
        <v>0.67659177249501523</v>
      </c>
      <c r="V117" s="23">
        <f t="shared" si="43"/>
        <v>0.70763389522950881</v>
      </c>
      <c r="W117" s="23">
        <f t="shared" si="43"/>
        <v>0.73475052324417778</v>
      </c>
      <c r="X117" s="28">
        <f t="shared" si="43"/>
        <v>0.75814598286589574</v>
      </c>
    </row>
    <row r="118" spans="2:24" x14ac:dyDescent="0.35">
      <c r="B118" s="76"/>
      <c r="C118" s="17">
        <v>0.55000000000000004</v>
      </c>
      <c r="D118" s="27">
        <f t="shared" ref="D118:X118" si="44">1/(1+EXP(-D144))</f>
        <v>0.1489139397355301</v>
      </c>
      <c r="E118" s="23">
        <f t="shared" si="44"/>
        <v>0.16129015236466529</v>
      </c>
      <c r="F118" s="23">
        <f t="shared" si="44"/>
        <v>0.17606056939456444</v>
      </c>
      <c r="G118" s="23">
        <f t="shared" si="44"/>
        <v>0.1936253696534504</v>
      </c>
      <c r="H118" s="23">
        <f t="shared" si="44"/>
        <v>0.21439629764452436</v>
      </c>
      <c r="I118" s="23">
        <f t="shared" si="44"/>
        <v>0.23875957688128341</v>
      </c>
      <c r="J118" s="23">
        <f t="shared" si="44"/>
        <v>0.26702020152053385</v>
      </c>
      <c r="K118" s="23">
        <f t="shared" si="44"/>
        <v>0.2993290542606572</v>
      </c>
      <c r="L118" s="23">
        <f t="shared" si="44"/>
        <v>0.33560194052274261</v>
      </c>
      <c r="M118" s="23">
        <f t="shared" si="44"/>
        <v>0.37544930530922332</v>
      </c>
      <c r="N118" s="23">
        <f t="shared" si="44"/>
        <v>0.41814268484536271</v>
      </c>
      <c r="O118" s="23">
        <f t="shared" si="44"/>
        <v>0.46264223229949425</v>
      </c>
      <c r="P118" s="23">
        <f t="shared" si="44"/>
        <v>0.50769448306628417</v>
      </c>
      <c r="Q118" s="23">
        <f t="shared" si="44"/>
        <v>0.55198432122558072</v>
      </c>
      <c r="R118" s="23">
        <f t="shared" si="44"/>
        <v>0.59430231614346896</v>
      </c>
      <c r="S118" s="23">
        <f t="shared" si="44"/>
        <v>0.63368204974955178</v>
      </c>
      <c r="T118" s="23">
        <f t="shared" si="44"/>
        <v>0.66947586617775867</v>
      </c>
      <c r="U118" s="23">
        <f t="shared" si="44"/>
        <v>0.70136256727322077</v>
      </c>
      <c r="V118" s="23">
        <f t="shared" si="44"/>
        <v>0.72930253702805747</v>
      </c>
      <c r="W118" s="23">
        <f t="shared" si="44"/>
        <v>0.75346558802533237</v>
      </c>
      <c r="X118" s="28">
        <f t="shared" si="44"/>
        <v>0.77415470581269807</v>
      </c>
    </row>
    <row r="119" spans="2:24" x14ac:dyDescent="0.35">
      <c r="B119" s="76"/>
      <c r="C119" s="17">
        <v>0.5</v>
      </c>
      <c r="D119" s="27">
        <f t="shared" ref="D119:X119" si="45">1/(1+EXP(-D145))</f>
        <v>0.15846977871903772</v>
      </c>
      <c r="E119" s="23">
        <f t="shared" si="45"/>
        <v>0.17269822386371214</v>
      </c>
      <c r="F119" s="23">
        <f t="shared" si="45"/>
        <v>0.18963401773252439</v>
      </c>
      <c r="G119" s="23">
        <f t="shared" si="45"/>
        <v>0.20968895540148014</v>
      </c>
      <c r="H119" s="23">
        <f t="shared" si="45"/>
        <v>0.23325870727867395</v>
      </c>
      <c r="I119" s="23">
        <f t="shared" si="45"/>
        <v>0.2606711462563211</v>
      </c>
      <c r="J119" s="23">
        <f t="shared" si="45"/>
        <v>0.2921166650518851</v>
      </c>
      <c r="K119" s="23">
        <f t="shared" si="45"/>
        <v>0.32756768984932544</v>
      </c>
      <c r="L119" s="23">
        <f t="shared" si="45"/>
        <v>0.36670409953525412</v>
      </c>
      <c r="M119" s="23">
        <f t="shared" si="45"/>
        <v>0.40886957532530904</v>
      </c>
      <c r="N119" s="23">
        <f t="shared" si="45"/>
        <v>0.45308464566353057</v>
      </c>
      <c r="O119" s="23">
        <f t="shared" si="45"/>
        <v>0.49812993092474328</v>
      </c>
      <c r="P119" s="23">
        <f t="shared" si="45"/>
        <v>0.54268922852814871</v>
      </c>
      <c r="Q119" s="23">
        <f t="shared" si="45"/>
        <v>0.58551748325428077</v>
      </c>
      <c r="R119" s="23">
        <f t="shared" si="45"/>
        <v>0.6255878749301641</v>
      </c>
      <c r="S119" s="23">
        <f t="shared" si="45"/>
        <v>0.6621821048273171</v>
      </c>
      <c r="T119" s="23">
        <f t="shared" si="45"/>
        <v>0.69491186261445637</v>
      </c>
      <c r="U119" s="23">
        <f t="shared" si="45"/>
        <v>0.72368314111944898</v>
      </c>
      <c r="V119" s="23">
        <f t="shared" si="45"/>
        <v>0.74862773453700471</v>
      </c>
      <c r="W119" s="23">
        <f t="shared" si="45"/>
        <v>0.77002629140319556</v>
      </c>
      <c r="X119" s="28">
        <f t="shared" si="45"/>
        <v>0.78823974928611151</v>
      </c>
    </row>
    <row r="120" spans="2:24" x14ac:dyDescent="0.35">
      <c r="B120" s="76"/>
      <c r="C120" s="17">
        <v>0.45</v>
      </c>
      <c r="D120" s="27">
        <f t="shared" ref="D120:X120" si="46">1/(1+EXP(-D146))</f>
        <v>0.16945833827689349</v>
      </c>
      <c r="E120" s="23">
        <f t="shared" si="46"/>
        <v>0.18578388130511461</v>
      </c>
      <c r="F120" s="23">
        <f t="shared" si="46"/>
        <v>0.20514092183299201</v>
      </c>
      <c r="G120" s="23">
        <f t="shared" si="46"/>
        <v>0.22793223933540296</v>
      </c>
      <c r="H120" s="23">
        <f t="shared" si="46"/>
        <v>0.25450540724679177</v>
      </c>
      <c r="I120" s="23">
        <f t="shared" si="46"/>
        <v>0.28508662516996852</v>
      </c>
      <c r="J120" s="23">
        <f t="shared" si="46"/>
        <v>0.31970147093885876</v>
      </c>
      <c r="K120" s="23">
        <f t="shared" si="46"/>
        <v>0.35809718229011361</v>
      </c>
      <c r="L120" s="23">
        <f t="shared" si="46"/>
        <v>0.39969012082143873</v>
      </c>
      <c r="M120" s="23">
        <f t="shared" si="46"/>
        <v>0.44356499432098773</v>
      </c>
      <c r="N120" s="23">
        <f t="shared" si="46"/>
        <v>0.48854311697357372</v>
      </c>
      <c r="O120" s="23">
        <f t="shared" si="46"/>
        <v>0.53331497738123013</v>
      </c>
      <c r="P120" s="23">
        <f t="shared" si="46"/>
        <v>0.57660668931198822</v>
      </c>
      <c r="Q120" s="23">
        <f t="shared" si="46"/>
        <v>0.61733515948461315</v>
      </c>
      <c r="R120" s="23">
        <f t="shared" si="46"/>
        <v>0.65471236978617231</v>
      </c>
      <c r="S120" s="23">
        <f t="shared" si="46"/>
        <v>0.68828118849579556</v>
      </c>
      <c r="T120" s="23">
        <f t="shared" si="46"/>
        <v>0.71789002562775672</v>
      </c>
      <c r="U120" s="23">
        <f t="shared" si="46"/>
        <v>0.74362911346113492</v>
      </c>
      <c r="V120" s="23">
        <f t="shared" si="46"/>
        <v>0.76575363353604342</v>
      </c>
      <c r="W120" s="23">
        <f t="shared" si="46"/>
        <v>0.78461242745489013</v>
      </c>
      <c r="X120" s="28">
        <f t="shared" si="46"/>
        <v>0.80059191396390572</v>
      </c>
    </row>
    <row r="121" spans="2:24" x14ac:dyDescent="0.35">
      <c r="B121" s="76"/>
      <c r="C121" s="17">
        <v>0.4</v>
      </c>
      <c r="D121" s="27">
        <f t="shared" ref="D121:X121" si="47">1/(1+EXP(-D147))</f>
        <v>0.18207096315098623</v>
      </c>
      <c r="E121" s="23">
        <f t="shared" si="47"/>
        <v>0.20074850645647543</v>
      </c>
      <c r="F121" s="23">
        <f t="shared" si="47"/>
        <v>0.22277736066161846</v>
      </c>
      <c r="G121" s="23">
        <f t="shared" si="47"/>
        <v>0.24852178711175019</v>
      </c>
      <c r="H121" s="23">
        <f t="shared" si="47"/>
        <v>0.27824015329492219</v>
      </c>
      <c r="I121" s="23">
        <f t="shared" si="47"/>
        <v>0.31200758330200007</v>
      </c>
      <c r="J121" s="23">
        <f t="shared" si="47"/>
        <v>0.34963619410304009</v>
      </c>
      <c r="K121" s="23">
        <f t="shared" si="47"/>
        <v>0.39061492337870074</v>
      </c>
      <c r="L121" s="23">
        <f t="shared" si="47"/>
        <v>0.43409576231434716</v>
      </c>
      <c r="M121" s="23">
        <f t="shared" si="47"/>
        <v>0.47894683387476727</v>
      </c>
      <c r="N121" s="23">
        <f t="shared" si="47"/>
        <v>0.52387302454996176</v>
      </c>
      <c r="O121" s="23">
        <f t="shared" si="47"/>
        <v>0.56757879096074548</v>
      </c>
      <c r="P121" s="23">
        <f t="shared" si="47"/>
        <v>0.60892955085221168</v>
      </c>
      <c r="Q121" s="23">
        <f t="shared" si="47"/>
        <v>0.64706915584765667</v>
      </c>
      <c r="R121" s="23">
        <f t="shared" si="47"/>
        <v>0.68147041692735788</v>
      </c>
      <c r="S121" s="23">
        <f t="shared" si="47"/>
        <v>0.71192118228567614</v>
      </c>
      <c r="T121" s="23">
        <f t="shared" si="47"/>
        <v>0.73846657464820076</v>
      </c>
      <c r="U121" s="23">
        <f t="shared" si="47"/>
        <v>0.76133304854616313</v>
      </c>
      <c r="V121" s="23">
        <f t="shared" si="47"/>
        <v>0.78085480513167127</v>
      </c>
      <c r="W121" s="23">
        <f t="shared" si="47"/>
        <v>0.79741408446324513</v>
      </c>
      <c r="X121" s="28">
        <f t="shared" si="47"/>
        <v>0.81139885949011636</v>
      </c>
    </row>
    <row r="122" spans="2:24" x14ac:dyDescent="0.35">
      <c r="B122" s="76"/>
      <c r="C122" s="17">
        <v>0.35</v>
      </c>
      <c r="D122" s="27">
        <f t="shared" ref="D122:X122" si="48">1/(1+EXP(-D148))</f>
        <v>0.19650791209864565</v>
      </c>
      <c r="E122" s="23">
        <f t="shared" si="48"/>
        <v>0.21779101506415868</v>
      </c>
      <c r="F122" s="23">
        <f t="shared" si="48"/>
        <v>0.24271867761366667</v>
      </c>
      <c r="G122" s="23">
        <f t="shared" si="48"/>
        <v>0.27157789001725929</v>
      </c>
      <c r="H122" s="23">
        <f t="shared" si="48"/>
        <v>0.304489631345357</v>
      </c>
      <c r="I122" s="23">
        <f t="shared" si="48"/>
        <v>0.34132807234656692</v>
      </c>
      <c r="J122" s="23">
        <f t="shared" si="48"/>
        <v>0.38165402296068074</v>
      </c>
      <c r="K122" s="23">
        <f t="shared" si="48"/>
        <v>0.4246891537327086</v>
      </c>
      <c r="L122" s="23">
        <f t="shared" si="48"/>
        <v>0.46935395129838486</v>
      </c>
      <c r="M122" s="23">
        <f t="shared" si="48"/>
        <v>0.51437523558303599</v>
      </c>
      <c r="N122" s="23">
        <f t="shared" si="48"/>
        <v>0.55844327309789599</v>
      </c>
      <c r="O122" s="23">
        <f t="shared" si="48"/>
        <v>0.60037739505389498</v>
      </c>
      <c r="P122" s="23">
        <f t="shared" si="48"/>
        <v>0.63925559623152228</v>
      </c>
      <c r="Q122" s="23">
        <f t="shared" si="48"/>
        <v>0.67447991909247806</v>
      </c>
      <c r="R122" s="23">
        <f t="shared" si="48"/>
        <v>0.70577493831481586</v>
      </c>
      <c r="S122" s="23">
        <f t="shared" si="48"/>
        <v>0.73313715440818805</v>
      </c>
      <c r="T122" s="23">
        <f t="shared" si="48"/>
        <v>0.75676092383198823</v>
      </c>
      <c r="U122" s="23">
        <f t="shared" si="48"/>
        <v>0.7769630939403388</v>
      </c>
      <c r="V122" s="23">
        <f t="shared" si="48"/>
        <v>0.79411981808014132</v>
      </c>
      <c r="W122" s="23">
        <f t="shared" si="48"/>
        <v>0.80862054958430263</v>
      </c>
      <c r="X122" s="28">
        <f t="shared" si="48"/>
        <v>0.82083855076030576</v>
      </c>
    </row>
    <row r="123" spans="2:24" x14ac:dyDescent="0.35">
      <c r="B123" s="76"/>
      <c r="C123" s="17">
        <v>0.3</v>
      </c>
      <c r="D123" s="27">
        <f t="shared" ref="D123:X123" si="49">1/(1+EXP(-D149))</f>
        <v>0.21296993482292265</v>
      </c>
      <c r="E123" s="23">
        <f t="shared" si="49"/>
        <v>0.23709409655686567</v>
      </c>
      <c r="F123" s="23">
        <f t="shared" si="49"/>
        <v>0.26509993117479624</v>
      </c>
      <c r="G123" s="23">
        <f t="shared" si="49"/>
        <v>0.29715054206451624</v>
      </c>
      <c r="H123" s="23">
        <f t="shared" si="49"/>
        <v>0.33317904126325304</v>
      </c>
      <c r="I123" s="23">
        <f t="shared" si="49"/>
        <v>0.37281685443872892</v>
      </c>
      <c r="J123" s="23">
        <f t="shared" si="49"/>
        <v>0.41535702340260344</v>
      </c>
      <c r="K123" s="23">
        <f t="shared" si="49"/>
        <v>0.45977733856811076</v>
      </c>
      <c r="L123" s="23">
        <f t="shared" si="49"/>
        <v>0.50483382128103338</v>
      </c>
      <c r="M123" s="23">
        <f t="shared" si="49"/>
        <v>0.54921021434239081</v>
      </c>
      <c r="N123" s="23">
        <f t="shared" si="49"/>
        <v>0.59168573399080504</v>
      </c>
      <c r="O123" s="23">
        <f t="shared" si="49"/>
        <v>0.63127548397414845</v>
      </c>
      <c r="P123" s="23">
        <f t="shared" si="49"/>
        <v>0.66731059871129805</v>
      </c>
      <c r="Q123" s="23">
        <f t="shared" si="49"/>
        <v>0.69944999103128325</v>
      </c>
      <c r="R123" s="23">
        <f t="shared" si="49"/>
        <v>0.72763810475912405</v>
      </c>
      <c r="S123" s="23">
        <f t="shared" si="49"/>
        <v>0.75203373924371852</v>
      </c>
      <c r="T123" s="23">
        <f t="shared" si="49"/>
        <v>0.77293351194408044</v>
      </c>
      <c r="U123" s="23">
        <f t="shared" si="49"/>
        <v>0.79070541124399651</v>
      </c>
      <c r="V123" s="23">
        <f t="shared" si="49"/>
        <v>0.80573904912433114</v>
      </c>
      <c r="W123" s="23">
        <f t="shared" si="49"/>
        <v>0.81841288422463998</v>
      </c>
      <c r="X123" s="28">
        <f t="shared" si="49"/>
        <v>0.82907544306529368</v>
      </c>
    </row>
    <row r="124" spans="2:24" x14ac:dyDescent="0.35">
      <c r="B124" s="76"/>
      <c r="C124" s="17">
        <v>0.25</v>
      </c>
      <c r="D124" s="27">
        <f t="shared" ref="D124:X124" si="50">1/(1+EXP(-D150))</f>
        <v>0.2316457242255465</v>
      </c>
      <c r="E124" s="23">
        <f t="shared" si="50"/>
        <v>0.25880586286285168</v>
      </c>
      <c r="F124" s="23">
        <f t="shared" si="50"/>
        <v>0.28999258716319498</v>
      </c>
      <c r="G124" s="23">
        <f t="shared" si="50"/>
        <v>0.32519460865976502</v>
      </c>
      <c r="H124" s="23">
        <f t="shared" si="50"/>
        <v>0.36411221149920553</v>
      </c>
      <c r="I124" s="23">
        <f t="shared" si="50"/>
        <v>0.40611081195709087</v>
      </c>
      <c r="J124" s="23">
        <f t="shared" si="50"/>
        <v>0.45022978714599216</v>
      </c>
      <c r="K124" s="23">
        <f t="shared" si="50"/>
        <v>0.49526126959181788</v>
      </c>
      <c r="L124" s="23">
        <f t="shared" si="50"/>
        <v>0.53989024565864852</v>
      </c>
      <c r="M124" s="23">
        <f t="shared" si="50"/>
        <v>0.5828622963417931</v>
      </c>
      <c r="N124" s="23">
        <f t="shared" si="50"/>
        <v>0.62313328916292465</v>
      </c>
      <c r="O124" s="23">
        <f>1/(1+EXP(-O150))</f>
        <v>0.65996392386698766</v>
      </c>
      <c r="P124" s="23">
        <f t="shared" si="50"/>
        <v>0.69294544289351645</v>
      </c>
      <c r="Q124" s="23">
        <f t="shared" si="50"/>
        <v>0.72196692414709296</v>
      </c>
      <c r="R124" s="23">
        <f t="shared" si="50"/>
        <v>0.74714809019279904</v>
      </c>
      <c r="S124" s="23">
        <f t="shared" si="50"/>
        <v>0.76876229892800507</v>
      </c>
      <c r="T124" s="23">
        <f t="shared" si="50"/>
        <v>0.78716712290091573</v>
      </c>
      <c r="U124" s="23">
        <f t="shared" si="50"/>
        <v>0.80275086113365302</v>
      </c>
      <c r="V124" s="23">
        <f t="shared" si="50"/>
        <v>0.81589633331968181</v>
      </c>
      <c r="W124" s="23">
        <f t="shared" si="50"/>
        <v>0.82695944395186993</v>
      </c>
      <c r="X124" s="28">
        <f t="shared" si="50"/>
        <v>0.83625867580806523</v>
      </c>
    </row>
    <row r="125" spans="2:24" x14ac:dyDescent="0.35">
      <c r="B125" s="76"/>
      <c r="C125" s="17">
        <v>0.2</v>
      </c>
      <c r="D125" s="27">
        <f t="shared" ref="D125:X125" si="51">1/(1+EXP(-D151))</f>
        <v>0.25269479758759755</v>
      </c>
      <c r="E125" s="23">
        <f t="shared" si="51"/>
        <v>0.28301740900721156</v>
      </c>
      <c r="F125" s="23">
        <f t="shared" si="51"/>
        <v>0.31737956891022351</v>
      </c>
      <c r="G125" s="23">
        <f t="shared" si="51"/>
        <v>0.35554821764245337</v>
      </c>
      <c r="H125" s="23">
        <f t="shared" si="51"/>
        <v>0.39696148604437959</v>
      </c>
      <c r="I125" s="23">
        <f t="shared" si="51"/>
        <v>0.44072393399338111</v>
      </c>
      <c r="J125" s="23">
        <f t="shared" si="51"/>
        <v>0.48567027374450661</v>
      </c>
      <c r="K125" s="23">
        <f t="shared" si="51"/>
        <v>0.5304945023844877</v>
      </c>
      <c r="L125" s="23">
        <f t="shared" si="51"/>
        <v>0.57391548176799012</v>
      </c>
      <c r="M125" s="23">
        <f t="shared" si="51"/>
        <v>0.61483417145936159</v>
      </c>
      <c r="N125" s="23">
        <f t="shared" si="51"/>
        <v>0.65244195676760885</v>
      </c>
      <c r="O125" s="23">
        <f t="shared" si="51"/>
        <v>0.68626083664986826</v>
      </c>
      <c r="P125" s="23">
        <f t="shared" si="51"/>
        <v>0.71612138949416826</v>
      </c>
      <c r="Q125" s="23">
        <f t="shared" si="51"/>
        <v>0.74210071247854248</v>
      </c>
      <c r="R125" s="23">
        <f t="shared" si="51"/>
        <v>0.76444573326640386</v>
      </c>
      <c r="S125" s="23">
        <f t="shared" si="51"/>
        <v>0.78350118454922091</v>
      </c>
      <c r="T125" s="23">
        <f t="shared" si="51"/>
        <v>0.79965242406148163</v>
      </c>
      <c r="U125" s="23">
        <f t="shared" si="51"/>
        <v>0.81328567691592168</v>
      </c>
      <c r="V125" s="23">
        <f t="shared" si="51"/>
        <v>0.82476376361577619</v>
      </c>
      <c r="W125" s="23">
        <f t="shared" si="51"/>
        <v>0.83441359644366675</v>
      </c>
      <c r="X125" s="28">
        <f t="shared" si="51"/>
        <v>0.84252164825674247</v>
      </c>
    </row>
    <row r="126" spans="2:24" x14ac:dyDescent="0.35">
      <c r="B126" s="76"/>
      <c r="C126" s="17">
        <v>0.15</v>
      </c>
      <c r="D126" s="27">
        <f t="shared" ref="D126:X126" si="52">1/(1+EXP(-D152))</f>
        <v>0.27622604981432802</v>
      </c>
      <c r="E126" s="23">
        <f t="shared" si="52"/>
        <v>0.30973801183270394</v>
      </c>
      <c r="F126" s="23">
        <f t="shared" si="52"/>
        <v>0.347132304317541</v>
      </c>
      <c r="G126" s="23">
        <f t="shared" si="52"/>
        <v>0.38791948432640211</v>
      </c>
      <c r="H126" s="23">
        <f t="shared" si="52"/>
        <v>0.43127218682716334</v>
      </c>
      <c r="I126" s="23">
        <f t="shared" si="52"/>
        <v>0.4760736575202788</v>
      </c>
      <c r="J126" s="23">
        <f t="shared" si="52"/>
        <v>0.52103457004205067</v>
      </c>
      <c r="K126" s="23">
        <f t="shared" si="52"/>
        <v>0.56485433822945552</v>
      </c>
      <c r="L126" s="23">
        <f t="shared" si="52"/>
        <v>0.60638398738428012</v>
      </c>
      <c r="M126" s="23">
        <f t="shared" si="52"/>
        <v>0.64474738089199335</v>
      </c>
      <c r="N126" s="23">
        <f t="shared" si="52"/>
        <v>0.67939619019903263</v>
      </c>
      <c r="O126" s="23">
        <f t="shared" si="52"/>
        <v>0.71009958939199969</v>
      </c>
      <c r="P126" s="23">
        <f t="shared" si="52"/>
        <v>0.73688850880434698</v>
      </c>
      <c r="Q126" s="23">
        <f t="shared" si="52"/>
        <v>0.75998015043016687</v>
      </c>
      <c r="R126" s="23">
        <f t="shared" si="52"/>
        <v>0.7797038115877436</v>
      </c>
      <c r="S126" s="23">
        <f t="shared" si="52"/>
        <v>0.79644011768229428</v>
      </c>
      <c r="T126" s="23">
        <f t="shared" si="52"/>
        <v>0.81057761492112546</v>
      </c>
      <c r="U126" s="23">
        <f t="shared" si="52"/>
        <v>0.8224854879334621</v>
      </c>
      <c r="V126" s="23">
        <f t="shared" si="52"/>
        <v>0.8324988846736262</v>
      </c>
      <c r="W126" s="23">
        <f t="shared" si="52"/>
        <v>0.84091297812712629</v>
      </c>
      <c r="X126" s="28">
        <f t="shared" si="52"/>
        <v>0.84798248350313754</v>
      </c>
    </row>
    <row r="127" spans="2:24" x14ac:dyDescent="0.35">
      <c r="B127" s="76"/>
      <c r="C127" s="17">
        <v>0.1</v>
      </c>
      <c r="D127" s="27">
        <f t="shared" ref="D127:X127" si="53">1/(1+EXP(-D153))</f>
        <v>0.30227333694009079</v>
      </c>
      <c r="E127" s="23">
        <f t="shared" si="53"/>
        <v>0.3388711961136967</v>
      </c>
      <c r="F127" s="23">
        <f t="shared" si="53"/>
        <v>0.37899466979576202</v>
      </c>
      <c r="G127" s="23">
        <f t="shared" si="53"/>
        <v>0.42188665224885075</v>
      </c>
      <c r="H127" s="23">
        <f t="shared" si="53"/>
        <v>0.4664842986259754</v>
      </c>
      <c r="I127" s="23">
        <f t="shared" si="53"/>
        <v>0.51152242443871176</v>
      </c>
      <c r="J127" s="23">
        <f t="shared" si="53"/>
        <v>0.55568853232767845</v>
      </c>
      <c r="K127" s="23">
        <f t="shared" si="53"/>
        <v>0.59778929188180097</v>
      </c>
      <c r="L127" s="23">
        <f t="shared" si="53"/>
        <v>0.63688352495201039</v>
      </c>
      <c r="M127" s="23">
        <f t="shared" si="53"/>
        <v>0.67235203073353467</v>
      </c>
      <c r="N127" s="23">
        <f t="shared" si="53"/>
        <v>0.70389995821756779</v>
      </c>
      <c r="O127" s="23">
        <f t="shared" si="53"/>
        <v>0.73150857692911198</v>
      </c>
      <c r="P127" s="23">
        <f t="shared" si="53"/>
        <v>0.75536196317769355</v>
      </c>
      <c r="Q127" s="23">
        <f t="shared" si="53"/>
        <v>0.77577121605718502</v>
      </c>
      <c r="R127" s="23">
        <f t="shared" si="53"/>
        <v>0.79311027000098322</v>
      </c>
      <c r="S127" s="23">
        <f t="shared" si="53"/>
        <v>0.80776877113870338</v>
      </c>
      <c r="T127" s="23">
        <f t="shared" si="53"/>
        <v>0.82012161841449616</v>
      </c>
      <c r="U127" s="23">
        <f t="shared" si="53"/>
        <v>0.83051193861997785</v>
      </c>
      <c r="V127" s="23">
        <f t="shared" si="53"/>
        <v>0.83924359166774554</v>
      </c>
      <c r="W127" s="23">
        <f t="shared" si="53"/>
        <v>0.84657975922534368</v>
      </c>
      <c r="X127" s="28">
        <f t="shared" si="53"/>
        <v>0.85274501539712511</v>
      </c>
    </row>
    <row r="128" spans="2:24" x14ac:dyDescent="0.35">
      <c r="B128" s="76"/>
      <c r="C128" s="17">
        <v>0.05</v>
      </c>
      <c r="D128" s="27">
        <f t="shared" ref="D128:X128" si="54">1/(1+EXP(-D154))</f>
        <v>0.33077090281565685</v>
      </c>
      <c r="E128" s="23">
        <f t="shared" si="54"/>
        <v>0.37019628881015931</v>
      </c>
      <c r="F128" s="23">
        <f t="shared" si="54"/>
        <v>0.41257906766044</v>
      </c>
      <c r="G128" s="23">
        <f t="shared" si="54"/>
        <v>0.45691505118263975</v>
      </c>
      <c r="H128" s="23">
        <f t="shared" si="54"/>
        <v>0.50197036668693684</v>
      </c>
      <c r="I128" s="23">
        <f t="shared" si="54"/>
        <v>0.54642831270629266</v>
      </c>
      <c r="J128" s="23">
        <f t="shared" si="54"/>
        <v>0.58905733373719871</v>
      </c>
      <c r="K128" s="23">
        <f t="shared" si="54"/>
        <v>0.6288543830978699</v>
      </c>
      <c r="L128" s="23">
        <f t="shared" si="54"/>
        <v>0.66512942769652061</v>
      </c>
      <c r="M128" s="23">
        <f t="shared" si="54"/>
        <v>0.69752131090443992</v>
      </c>
      <c r="N128" s="23">
        <f t="shared" si="54"/>
        <v>0.72595823936922332</v>
      </c>
      <c r="O128" s="23">
        <f t="shared" si="54"/>
        <v>0.75058768345767057</v>
      </c>
      <c r="P128" s="23">
        <f t="shared" si="54"/>
        <v>0.77169962085087584</v>
      </c>
      <c r="Q128" s="23">
        <f t="shared" si="54"/>
        <v>0.78965916524616053</v>
      </c>
      <c r="R128" s="23">
        <f t="shared" si="54"/>
        <v>0.80485569684715652</v>
      </c>
      <c r="S128" s="23">
        <f t="shared" si="54"/>
        <v>0.81766907296166214</v>
      </c>
      <c r="T128" s="23">
        <f t="shared" si="54"/>
        <v>0.82845007259045544</v>
      </c>
      <c r="U128" s="23">
        <f t="shared" si="54"/>
        <v>0.83751118804066704</v>
      </c>
      <c r="V128" s="23">
        <f t="shared" si="54"/>
        <v>0.84512416742654417</v>
      </c>
      <c r="W128" s="23">
        <f t="shared" si="54"/>
        <v>0.85152151874977788</v>
      </c>
      <c r="X128" s="28">
        <f t="shared" si="54"/>
        <v>0.85690004247500462</v>
      </c>
    </row>
    <row r="129" spans="2:24" ht="15" thickBot="1" x14ac:dyDescent="0.4">
      <c r="B129" s="77"/>
      <c r="C129" s="18">
        <v>0</v>
      </c>
      <c r="D129" s="29">
        <f t="shared" ref="D129:X129" si="55">1/(1+EXP(-D155))</f>
        <v>0.36153293711076107</v>
      </c>
      <c r="E129" s="30">
        <f t="shared" si="55"/>
        <v>0.4033607377972856</v>
      </c>
      <c r="F129" s="30">
        <f t="shared" si="55"/>
        <v>0.44737866836419005</v>
      </c>
      <c r="G129" s="30">
        <f t="shared" si="55"/>
        <v>0.4923909538840639</v>
      </c>
      <c r="H129" s="30">
        <f t="shared" si="55"/>
        <v>0.53708446666803156</v>
      </c>
      <c r="I129" s="30">
        <f t="shared" si="55"/>
        <v>0.58019604449691231</v>
      </c>
      <c r="J129" s="30">
        <f t="shared" si="55"/>
        <v>0.62066463079911305</v>
      </c>
      <c r="K129" s="30">
        <f t="shared" si="55"/>
        <v>0.657730024046425</v>
      </c>
      <c r="L129" s="30">
        <f t="shared" si="55"/>
        <v>0.69096287805842582</v>
      </c>
      <c r="M129" s="30">
        <f t="shared" si="55"/>
        <v>0.72023507453292679</v>
      </c>
      <c r="N129" s="30">
        <f t="shared" si="55"/>
        <v>0.74565394603411539</v>
      </c>
      <c r="O129" s="30">
        <f t="shared" si="55"/>
        <v>0.76748527546541567</v>
      </c>
      <c r="P129" s="30">
        <f t="shared" si="55"/>
        <v>0.7860830530351004</v>
      </c>
      <c r="Q129" s="30">
        <f t="shared" si="55"/>
        <v>0.8018348751733384</v>
      </c>
      <c r="R129" s="30">
        <f t="shared" si="55"/>
        <v>0.8151246871161556</v>
      </c>
      <c r="S129" s="30">
        <f t="shared" si="55"/>
        <v>0.82631051648504861</v>
      </c>
      <c r="T129" s="30">
        <f t="shared" si="55"/>
        <v>0.83571338680680307</v>
      </c>
      <c r="U129" s="30">
        <f t="shared" si="55"/>
        <v>0.84361368759264632</v>
      </c>
      <c r="V129" s="30">
        <f t="shared" si="55"/>
        <v>0.85025202493804797</v>
      </c>
      <c r="W129" s="30">
        <f t="shared" si="55"/>
        <v>0.85583244622866028</v>
      </c>
      <c r="X129" s="31">
        <f t="shared" si="55"/>
        <v>0.86052667843896391</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78" t="s">
        <v>51</v>
      </c>
      <c r="E131" s="79"/>
      <c r="F131" s="79"/>
      <c r="G131" s="79"/>
      <c r="H131" s="79"/>
      <c r="I131" s="79"/>
      <c r="J131" s="79"/>
      <c r="K131" s="79"/>
      <c r="L131" s="79"/>
      <c r="M131" s="79"/>
      <c r="N131" s="79"/>
      <c r="O131" s="79"/>
      <c r="P131" s="79"/>
      <c r="Q131" s="79"/>
      <c r="R131" s="79"/>
      <c r="S131" s="79"/>
      <c r="T131" s="79"/>
      <c r="U131" s="79"/>
      <c r="V131" s="79"/>
      <c r="W131" s="79"/>
      <c r="X131" s="80"/>
    </row>
    <row r="133" spans="2:24" ht="15" thickBot="1" x14ac:dyDescent="0.4"/>
    <row r="134" spans="2:24" ht="21.5" thickBot="1" x14ac:dyDescent="0.55000000000000004">
      <c r="B134" s="81" t="s">
        <v>10</v>
      </c>
      <c r="C134" s="82"/>
      <c r="D134" s="82"/>
      <c r="E134" s="82"/>
      <c r="F134" s="82"/>
      <c r="G134" s="82"/>
      <c r="H134" s="82"/>
      <c r="I134" s="82"/>
      <c r="J134" s="82"/>
      <c r="K134" s="82"/>
      <c r="L134" s="82"/>
      <c r="M134" s="82"/>
      <c r="N134" s="82"/>
      <c r="O134" s="82"/>
      <c r="P134" s="82"/>
      <c r="Q134" s="82"/>
      <c r="R134" s="82"/>
      <c r="S134" s="82"/>
      <c r="T134" s="82"/>
      <c r="U134" s="82"/>
      <c r="V134" s="82"/>
      <c r="W134" s="82"/>
      <c r="X134" s="83"/>
    </row>
    <row r="135" spans="2:24" x14ac:dyDescent="0.35">
      <c r="B135" s="75" t="s">
        <v>2</v>
      </c>
      <c r="C135" s="20">
        <v>1</v>
      </c>
      <c r="D135" s="23">
        <f>(D161*$P$7) + $P$9</f>
        <v>-2.1585650445973186</v>
      </c>
      <c r="E135" s="23">
        <f>(E161*$P$7) + $P$9</f>
        <v>-2.1214075652793052</v>
      </c>
      <c r="F135" s="23">
        <f t="shared" ref="F135:X135" si="56">(F161*$P$7) + $P$9</f>
        <v>-2.0784885982674868</v>
      </c>
      <c r="G135" s="23">
        <f t="shared" si="56"/>
        <v>-2.029071827155549</v>
      </c>
      <c r="H135" s="23">
        <f t="shared" si="56"/>
        <v>-1.9723809303539404</v>
      </c>
      <c r="I135" s="23">
        <f t="shared" si="56"/>
        <v>-1.9076170061940712</v>
      </c>
      <c r="J135" s="23">
        <f t="shared" si="56"/>
        <v>-1.8339835108903753</v>
      </c>
      <c r="K135" s="23">
        <f t="shared" si="56"/>
        <v>-1.750719686528031</v>
      </c>
      <c r="L135" s="23">
        <f t="shared" si="56"/>
        <v>-1.6571429089811889</v>
      </c>
      <c r="M135" s="23">
        <f t="shared" si="56"/>
        <v>-1.5526994746272234</v>
      </c>
      <c r="N135" s="23">
        <f t="shared" si="56"/>
        <v>-1.4370220409002075</v>
      </c>
      <c r="O135" s="23">
        <f t="shared" si="56"/>
        <v>-1.3099902942231956</v>
      </c>
      <c r="P135" s="23">
        <f t="shared" si="56"/>
        <v>-1.171789620650304</v>
      </c>
      <c r="Q135" s="23">
        <f t="shared" si="56"/>
        <v>-1.0229609301538192</v>
      </c>
      <c r="R135" s="23">
        <f t="shared" si="56"/>
        <v>-0.8644337949242491</v>
      </c>
      <c r="S135" s="23">
        <f t="shared" si="56"/>
        <v>-0.69753520839223304</v>
      </c>
      <c r="T135" s="23">
        <f t="shared" si="56"/>
        <v>-0.52396794557134685</v>
      </c>
      <c r="U135" s="23">
        <f t="shared" si="56"/>
        <v>-0.34575579497734354</v>
      </c>
      <c r="V135" s="23">
        <f t="shared" si="56"/>
        <v>-0.16515747434073935</v>
      </c>
      <c r="W135" s="23">
        <f t="shared" si="56"/>
        <v>1.5443995369283758E-2</v>
      </c>
      <c r="X135" s="66">
        <f t="shared" si="56"/>
        <v>0.19366542751761973</v>
      </c>
    </row>
    <row r="136" spans="2:24" x14ac:dyDescent="0.35">
      <c r="B136" s="76"/>
      <c r="C136" s="17">
        <v>0.95</v>
      </c>
      <c r="D136" s="23">
        <f>(D162*$P$7) + $P$9</f>
        <v>-2.1297708729112137</v>
      </c>
      <c r="E136" s="23">
        <f>(E162*$P$7) + $P$9</f>
        <v>-2.088137660559831</v>
      </c>
      <c r="F136" s="23">
        <f t="shared" ref="F136:X150" si="57">(F162*$P$7) + $P$9</f>
        <v>-2.0401671012834011</v>
      </c>
      <c r="G136" s="23">
        <f t="shared" si="57"/>
        <v>-1.9850901570686372</v>
      </c>
      <c r="H136" s="23">
        <f t="shared" si="57"/>
        <v>-1.9221109131999383</v>
      </c>
      <c r="I136" s="23">
        <f t="shared" si="57"/>
        <v>-1.8504298236098391</v>
      </c>
      <c r="J136" s="23">
        <f t="shared" si="57"/>
        <v>-1.7692752730760075</v>
      </c>
      <c r="K136" s="23">
        <f t="shared" si="57"/>
        <v>-1.6779440310240905</v>
      </c>
      <c r="L136" s="23">
        <f t="shared" si="57"/>
        <v>-1.5758503425011647</v>
      </c>
      <c r="M136" s="23">
        <f t="shared" si="57"/>
        <v>-1.4625821805278822</v>
      </c>
      <c r="N136" s="23">
        <f t="shared" si="57"/>
        <v>-1.3379616040307298</v>
      </c>
      <c r="O136" s="23">
        <f t="shared" si="57"/>
        <v>-1.2021043781429155</v>
      </c>
      <c r="P136" s="23">
        <f t="shared" si="57"/>
        <v>-1.055472317338761</v>
      </c>
      <c r="Q136" s="23">
        <f t="shared" si="57"/>
        <v>-0.89891064385351438</v>
      </c>
      <c r="R136" s="23">
        <f t="shared" si="57"/>
        <v>-0.73366251897269619</v>
      </c>
      <c r="S136" s="23">
        <f t="shared" si="57"/>
        <v>-0.5613542332506718</v>
      </c>
      <c r="T136" s="23">
        <f t="shared" si="57"/>
        <v>-0.38394750137474798</v>
      </c>
      <c r="U136" s="23">
        <f t="shared" si="57"/>
        <v>-0.20365963803367437</v>
      </c>
      <c r="V136" s="23">
        <f t="shared" si="57"/>
        <v>-2.2857352678332443E-2</v>
      </c>
      <c r="W136" s="23">
        <f t="shared" si="57"/>
        <v>0.15606559475973025</v>
      </c>
      <c r="X136" s="67">
        <f t="shared" si="57"/>
        <v>0.33081371539259319</v>
      </c>
    </row>
    <row r="137" spans="2:24" x14ac:dyDescent="0.35">
      <c r="B137" s="76"/>
      <c r="C137" s="17">
        <v>0.9</v>
      </c>
      <c r="D137" s="23">
        <f t="shared" ref="D137" si="58">(D163*$P$7) + $P$9</f>
        <v>-2.097500064074906</v>
      </c>
      <c r="E137" s="23">
        <f t="shared" ref="E137:T155" si="59">(E163*$P$7) + $P$9</f>
        <v>-2.0509408545387138</v>
      </c>
      <c r="F137" s="23">
        <f t="shared" si="59"/>
        <v>-1.9974417581827555</v>
      </c>
      <c r="G137" s="23">
        <f t="shared" si="59"/>
        <v>-1.9362108953610124</v>
      </c>
      <c r="H137" s="23">
        <f t="shared" si="59"/>
        <v>-1.8664471439289101</v>
      </c>
      <c r="I137" s="23">
        <f t="shared" si="59"/>
        <v>-1.7873698629411838</v>
      </c>
      <c r="J137" s="23">
        <f t="shared" si="59"/>
        <v>-1.6982574422713372</v>
      </c>
      <c r="K137" s="23">
        <f t="shared" si="59"/>
        <v>-1.5984946324010489</v>
      </c>
      <c r="L137" s="23">
        <f t="shared" si="59"/>
        <v>-1.487627471091086</v>
      </c>
      <c r="M137" s="23">
        <f t="shared" si="59"/>
        <v>-1.3654231118620634</v>
      </c>
      <c r="N137" s="23">
        <f t="shared" si="59"/>
        <v>-1.2319300961231714</v>
      </c>
      <c r="O137" s="23">
        <f t="shared" si="59"/>
        <v>-1.0875328625737515</v>
      </c>
      <c r="P137" s="23">
        <f t="shared" si="59"/>
        <v>-0.93299296541542631</v>
      </c>
      <c r="Q137" s="23">
        <f t="shared" si="59"/>
        <v>-0.76946907701498279</v>
      </c>
      <c r="R137" s="23">
        <f t="shared" si="59"/>
        <v>-0.59850884195927634</v>
      </c>
      <c r="S137" s="23">
        <f t="shared" si="59"/>
        <v>-0.42200826754872489</v>
      </c>
      <c r="T137" s="23">
        <f t="shared" si="59"/>
        <v>-0.24213842112924056</v>
      </c>
      <c r="U137" s="23">
        <f t="shared" si="57"/>
        <v>-6.1244115001148458E-2</v>
      </c>
      <c r="V137" s="23">
        <f t="shared" si="57"/>
        <v>0.1182760400458498</v>
      </c>
      <c r="W137" s="23">
        <f t="shared" si="57"/>
        <v>0.29409549191476225</v>
      </c>
      <c r="X137" s="67">
        <f t="shared" si="57"/>
        <v>0.46407770252082203</v>
      </c>
    </row>
    <row r="138" spans="2:24" x14ac:dyDescent="0.35">
      <c r="B138" s="76"/>
      <c r="C138" s="17">
        <v>0.85</v>
      </c>
      <c r="D138" s="23">
        <f t="shared" ref="D138" si="60">(D164*$P$7) + $P$9</f>
        <v>-2.0614006364603976</v>
      </c>
      <c r="E138" s="23">
        <f t="shared" si="59"/>
        <v>-2.0094434718029075</v>
      </c>
      <c r="F138" s="23">
        <f t="shared" si="57"/>
        <v>-1.9499246261337926</v>
      </c>
      <c r="G138" s="23">
        <f t="shared" si="57"/>
        <v>-1.8820427437727187</v>
      </c>
      <c r="H138" s="23">
        <f t="shared" si="57"/>
        <v>-1.8050099027076252</v>
      </c>
      <c r="I138" s="23">
        <f t="shared" si="57"/>
        <v>-1.7180882593885536</v>
      </c>
      <c r="J138" s="23">
        <f t="shared" si="57"/>
        <v>-1.6206355651795676</v>
      </c>
      <c r="K138" s="23">
        <f t="shared" si="57"/>
        <v>-1.5121586463500711</v>
      </c>
      <c r="L138" s="23">
        <f t="shared" si="57"/>
        <v>-1.3923725013562058</v>
      </c>
      <c r="M138" s="23">
        <f t="shared" si="57"/>
        <v>-1.2612609424226102</v>
      </c>
      <c r="N138" s="23">
        <f t="shared" si="57"/>
        <v>-1.1191329271388617</v>
      </c>
      <c r="O138" s="23">
        <f t="shared" si="57"/>
        <v>-0.96666727272287423</v>
      </c>
      <c r="P138" s="23">
        <f t="shared" si="57"/>
        <v>-0.80493781022608868</v>
      </c>
      <c r="Q138" s="23">
        <f t="shared" si="57"/>
        <v>-0.63541170161180371</v>
      </c>
      <c r="R138" s="23">
        <f t="shared" si="57"/>
        <v>-0.45991591231407503</v>
      </c>
      <c r="S138" s="23">
        <f t="shared" si="57"/>
        <v>-0.28057064256660258</v>
      </c>
      <c r="T138" s="23">
        <f t="shared" si="57"/>
        <v>-9.9693332057021689E-2</v>
      </c>
      <c r="U138" s="23">
        <f t="shared" si="57"/>
        <v>8.0318304620455416E-2</v>
      </c>
      <c r="V138" s="23">
        <f t="shared" si="57"/>
        <v>0.25711203614417966</v>
      </c>
      <c r="W138" s="23">
        <f t="shared" si="57"/>
        <v>0.42850187210949575</v>
      </c>
      <c r="X138" s="67">
        <f t="shared" si="57"/>
        <v>0.59257095052385389</v>
      </c>
    </row>
    <row r="139" spans="2:24" x14ac:dyDescent="0.35">
      <c r="B139" s="76"/>
      <c r="C139" s="17">
        <v>0.8</v>
      </c>
      <c r="D139" s="23">
        <f t="shared" ref="D139" si="61">(D165*$P$7) + $P$9</f>
        <v>-2.0211030144348441</v>
      </c>
      <c r="E139" s="23">
        <f t="shared" si="59"/>
        <v>-1.9632598180082845</v>
      </c>
      <c r="F139" s="23">
        <f t="shared" si="57"/>
        <v>-1.8972240130532776</v>
      </c>
      <c r="G139" s="23">
        <f t="shared" si="57"/>
        <v>-1.8222020542550625</v>
      </c>
      <c r="H139" s="23">
        <f t="shared" si="57"/>
        <v>-1.737441927705643</v>
      </c>
      <c r="I139" s="23">
        <f t="shared" si="57"/>
        <v>-1.6422768143521025</v>
      </c>
      <c r="J139" s="23">
        <f t="shared" si="57"/>
        <v>-1.5361770182282593</v>
      </c>
      <c r="K139" s="23">
        <f t="shared" si="57"/>
        <v>-1.4188081484722885</v>
      </c>
      <c r="L139" s="23">
        <f t="shared" si="57"/>
        <v>-1.2900918642824406</v>
      </c>
      <c r="M139" s="23">
        <f t="shared" si="57"/>
        <v>-1.1502636950500933</v>
      </c>
      <c r="N139" s="23">
        <f t="shared" si="57"/>
        <v>-0.99992088643320498</v>
      </c>
      <c r="O139" s="23">
        <f t="shared" si="57"/>
        <v>-0.84005237080281825</v>
      </c>
      <c r="P139" s="23">
        <f t="shared" si="57"/>
        <v>-0.6720433149315963</v>
      </c>
      <c r="Q139" s="23">
        <f t="shared" si="57"/>
        <v>-0.49764861663499627</v>
      </c>
      <c r="R139" s="23">
        <f t="shared" si="57"/>
        <v>-0.31893323347079239</v>
      </c>
      <c r="S139" s="23">
        <f t="shared" si="57"/>
        <v>-0.13818189404527725</v>
      </c>
      <c r="T139" s="23">
        <f t="shared" si="57"/>
        <v>4.2214325746900538E-2</v>
      </c>
      <c r="U139" s="23">
        <f t="shared" si="57"/>
        <v>0.21988302809093541</v>
      </c>
      <c r="V139" s="23">
        <f t="shared" si="57"/>
        <v>0.39259346222392066</v>
      </c>
      <c r="W139" s="23">
        <f t="shared" si="57"/>
        <v>0.55836415987291588</v>
      </c>
      <c r="X139" s="67">
        <f t="shared" si="57"/>
        <v>0.71554474114353828</v>
      </c>
    </row>
    <row r="140" spans="2:24" x14ac:dyDescent="0.35">
      <c r="B140" s="76"/>
      <c r="C140" s="17">
        <v>0.75</v>
      </c>
      <c r="D140" s="23">
        <f t="shared" ref="D140" si="62">(D166*$P$7) + $P$9</f>
        <v>-1.9762242081094157</v>
      </c>
      <c r="E140" s="23">
        <f t="shared" si="59"/>
        <v>-1.9119984413075235</v>
      </c>
      <c r="F140" s="23">
        <f t="shared" si="57"/>
        <v>-1.8389531725925083</v>
      </c>
      <c r="G140" s="23">
        <f t="shared" si="57"/>
        <v>-1.7563241959714806</v>
      </c>
      <c r="H140" s="23">
        <f t="shared" si="57"/>
        <v>-1.6634224792242618</v>
      </c>
      <c r="I140" s="23">
        <f t="shared" si="57"/>
        <v>-1.5596844505760976</v>
      </c>
      <c r="J140" s="23">
        <f t="shared" si="57"/>
        <v>-1.4447290989073198</v>
      </c>
      <c r="K140" s="23">
        <f t="shared" si="57"/>
        <v>-1.3184185729329432</v>
      </c>
      <c r="L140" s="23">
        <f t="shared" si="57"/>
        <v>-1.1809171683011037</v>
      </c>
      <c r="M140" s="23">
        <f t="shared" si="57"/>
        <v>-1.0327419434578129</v>
      </c>
      <c r="N140" s="23">
        <f t="shared" si="57"/>
        <v>-0.87479715897291488</v>
      </c>
      <c r="O140" s="23">
        <f t="shared" si="57"/>
        <v>-0.70838479514682451</v>
      </c>
      <c r="P140" s="23">
        <f t="shared" si="57"/>
        <v>-0.53518497253275221</v>
      </c>
      <c r="Q140" s="23">
        <f t="shared" si="57"/>
        <v>-0.35720329235479165</v>
      </c>
      <c r="R140" s="23">
        <f t="shared" si="57"/>
        <v>-0.1766865963178863</v>
      </c>
      <c r="S140" s="23">
        <f t="shared" si="57"/>
        <v>3.9863872119547672E-3</v>
      </c>
      <c r="T140" s="23">
        <f t="shared" si="57"/>
        <v>0.1824287082626781</v>
      </c>
      <c r="U140" s="23">
        <f t="shared" si="57"/>
        <v>0.35636976569025602</v>
      </c>
      <c r="V140" s="23">
        <f t="shared" si="57"/>
        <v>0.52376720940263222</v>
      </c>
      <c r="W140" s="23">
        <f t="shared" si="57"/>
        <v>0.68289491510611011</v>
      </c>
      <c r="X140" s="67">
        <f t="shared" si="57"/>
        <v>0.83239993993265227</v>
      </c>
    </row>
    <row r="141" spans="2:24" x14ac:dyDescent="0.35">
      <c r="B141" s="76"/>
      <c r="C141" s="17">
        <v>0.7</v>
      </c>
      <c r="D141" s="23">
        <f t="shared" ref="D141" si="63">(D167*$P$7) + $P$9</f>
        <v>-1.9263736001810221</v>
      </c>
      <c r="E141" s="23">
        <f t="shared" si="59"/>
        <v>-1.8552702844623457</v>
      </c>
      <c r="F141" s="23">
        <f t="shared" si="57"/>
        <v>-1.7747410916686195</v>
      </c>
      <c r="G141" s="23">
        <f t="shared" si="57"/>
        <v>-1.6840770582038038</v>
      </c>
      <c r="H141" s="23">
        <f t="shared" si="57"/>
        <v>-1.5826833325699456</v>
      </c>
      <c r="I141" s="23">
        <f t="shared" si="57"/>
        <v>-1.4701350444535088</v>
      </c>
      <c r="J141" s="23">
        <f t="shared" si="57"/>
        <v>-1.3462375263465116</v>
      </c>
      <c r="K141" s="23">
        <f t="shared" si="57"/>
        <v>-1.2110861595666971</v>
      </c>
      <c r="L141" s="23">
        <f t="shared" si="57"/>
        <v>-1.0651194026328303</v>
      </c>
      <c r="M141" s="23">
        <f t="shared" si="57"/>
        <v>-0.90915734336199661</v>
      </c>
      <c r="N141" s="23">
        <f t="shared" si="57"/>
        <v>-0.74441790084578274</v>
      </c>
      <c r="O141" s="23">
        <f t="shared" si="57"/>
        <v>-0.57250402996225835</v>
      </c>
      <c r="P141" s="23">
        <f t="shared" si="57"/>
        <v>-0.39535813946836651</v>
      </c>
      <c r="Q141" s="23">
        <f t="shared" si="57"/>
        <v>-0.21518419527595656</v>
      </c>
      <c r="R141" s="23">
        <f t="shared" si="57"/>
        <v>-3.4342931901683471E-2</v>
      </c>
      <c r="S141" s="23">
        <f t="shared" si="57"/>
        <v>0.1447698364490031</v>
      </c>
      <c r="T141" s="23">
        <f t="shared" si="57"/>
        <v>0.31984876418487507</v>
      </c>
      <c r="U141" s="23">
        <f t="shared" si="57"/>
        <v>0.48879462687261221</v>
      </c>
      <c r="V141" s="23">
        <f t="shared" si="57"/>
        <v>0.64980814103409834</v>
      </c>
      <c r="W141" s="23">
        <f t="shared" si="57"/>
        <v>0.8014538674111098</v>
      </c>
      <c r="X141" s="67">
        <f t="shared" si="57"/>
        <v>0.94269099775479615</v>
      </c>
    </row>
    <row r="142" spans="2:24" x14ac:dyDescent="0.35">
      <c r="B142" s="76"/>
      <c r="C142" s="17">
        <v>0.65</v>
      </c>
      <c r="D142" s="23">
        <f t="shared" ref="D142" si="64">(D168*$P$7) + $P$9</f>
        <v>-1.8711605677409548</v>
      </c>
      <c r="E142" s="23">
        <f t="shared" si="59"/>
        <v>-1.7926988969458253</v>
      </c>
      <c r="F142" s="23">
        <f t="shared" si="57"/>
        <v>-1.7042454223915957</v>
      </c>
      <c r="G142" s="23">
        <f t="shared" si="57"/>
        <v>-1.6051765518766632</v>
      </c>
      <c r="H142" s="23">
        <f t="shared" si="57"/>
        <v>-1.495026298452323</v>
      </c>
      <c r="I142" s="23">
        <f t="shared" si="57"/>
        <v>-1.3735459103276311</v>
      </c>
      <c r="J142" s="23">
        <f t="shared" si="57"/>
        <v>-1.2407642825074143</v>
      </c>
      <c r="K142" s="23">
        <f t="shared" si="57"/>
        <v>-1.0970430474315842</v>
      </c>
      <c r="L142" s="23">
        <f t="shared" si="57"/>
        <v>-0.9431188781781108</v>
      </c>
      <c r="M142" s="23">
        <f t="shared" si="57"/>
        <v>-0.78012506787902547</v>
      </c>
      <c r="N142" s="23">
        <f t="shared" si="57"/>
        <v>-0.60958534144907706</v>
      </c>
      <c r="O142" s="23">
        <f t="shared" si="57"/>
        <v>-0.43337537002145021</v>
      </c>
      <c r="P142" s="23">
        <f t="shared" si="57"/>
        <v>-0.25365146446583076</v>
      </c>
      <c r="Q142" s="23">
        <f t="shared" si="57"/>
        <v>-7.2750809929662985E-2</v>
      </c>
      <c r="R142" s="23">
        <f t="shared" si="57"/>
        <v>0.10692764800770593</v>
      </c>
      <c r="S142" s="23">
        <f t="shared" si="57"/>
        <v>0.28304909750609664</v>
      </c>
      <c r="T142" s="23">
        <f t="shared" si="57"/>
        <v>0.45346171550063197</v>
      </c>
      <c r="U142" s="23">
        <f t="shared" si="57"/>
        <v>0.61629596291130007</v>
      </c>
      <c r="V142" s="23">
        <f t="shared" si="57"/>
        <v>0.77003529127947346</v>
      </c>
      <c r="W142" s="23">
        <f t="shared" si="57"/>
        <v>0.91355399424019934</v>
      </c>
      <c r="X142" s="67">
        <f t="shared" si="57"/>
        <v>1.0461228145820218</v>
      </c>
    </row>
    <row r="143" spans="2:24" x14ac:dyDescent="0.35">
      <c r="B143" s="76"/>
      <c r="C143" s="17">
        <v>0.6</v>
      </c>
      <c r="D143" s="23">
        <f t="shared" ref="D143" si="65">(D169*$P$7) + $P$9</f>
        <v>-1.8102041252189429</v>
      </c>
      <c r="E143" s="23">
        <f t="shared" si="59"/>
        <v>-1.7239327895381789</v>
      </c>
      <c r="F143" s="23">
        <f t="shared" si="57"/>
        <v>-1.6271674677074452</v>
      </c>
      <c r="G143" s="23">
        <f t="shared" si="57"/>
        <v>-1.5194037704981773</v>
      </c>
      <c r="H143" s="23">
        <f t="shared" si="57"/>
        <v>-1.4003416181040156</v>
      </c>
      <c r="I143" s="23">
        <f t="shared" si="57"/>
        <v>-1.2699459398225024</v>
      </c>
      <c r="J143" s="23">
        <f t="shared" si="57"/>
        <v>-1.1285034858148637</v>
      </c>
      <c r="K143" s="23">
        <f t="shared" si="57"/>
        <v>-0.97666851722659542</v>
      </c>
      <c r="L143" s="23">
        <f t="shared" si="57"/>
        <v>-0.81548943821845654</v>
      </c>
      <c r="M143" s="23">
        <f t="shared" si="57"/>
        <v>-0.64640900429685955</v>
      </c>
      <c r="N143" s="23">
        <f t="shared" si="57"/>
        <v>-0.47123290601968115</v>
      </c>
      <c r="O143" s="23">
        <f t="shared" si="57"/>
        <v>-0.29206525058729005</v>
      </c>
      <c r="P143" s="23">
        <f t="shared" si="57"/>
        <v>-0.11121423656902962</v>
      </c>
      <c r="Q143" s="23">
        <f t="shared" si="57"/>
        <v>6.8923807835300055E-2</v>
      </c>
      <c r="R143" s="23">
        <f t="shared" si="57"/>
        <v>0.24599002985514162</v>
      </c>
      <c r="S143" s="23">
        <f t="shared" si="57"/>
        <v>0.41778453483339306</v>
      </c>
      <c r="T143" s="23">
        <f t="shared" si="57"/>
        <v>0.58237074353768792</v>
      </c>
      <c r="U143" s="23">
        <f t="shared" si="57"/>
        <v>0.7381527087346651</v>
      </c>
      <c r="V143" s="23">
        <f t="shared" si="57"/>
        <v>0.88392006242068888</v>
      </c>
      <c r="W143" s="23">
        <f t="shared" si="57"/>
        <v>1.0188602125910358</v>
      </c>
      <c r="X143" s="67">
        <f t="shared" si="57"/>
        <v>1.1425416474780126</v>
      </c>
    </row>
    <row r="144" spans="2:24" x14ac:dyDescent="0.35">
      <c r="B144" s="76"/>
      <c r="C144" s="17">
        <v>0.55000000000000004</v>
      </c>
      <c r="D144" s="23">
        <f t="shared" ref="D144" si="66">(D170*$P$7) + $P$9</f>
        <v>-1.7431446984446066</v>
      </c>
      <c r="E144" s="23">
        <f t="shared" si="59"/>
        <v>-1.6486598838768152</v>
      </c>
      <c r="F144" s="23">
        <f t="shared" si="57"/>
        <v>-1.5432689405395443</v>
      </c>
      <c r="G144" s="23">
        <f t="shared" si="57"/>
        <v>-1.4266232285827956</v>
      </c>
      <c r="H144" s="23">
        <f t="shared" si="57"/>
        <v>-1.2986263092049342</v>
      </c>
      <c r="I144" s="23">
        <f t="shared" si="57"/>
        <v>-1.1594921473288338</v>
      </c>
      <c r="J144" s="23">
        <f t="shared" si="57"/>
        <v>-1.0097938247878817</v>
      </c>
      <c r="K144" s="23">
        <f t="shared" si="57"/>
        <v>-0.85049488570588139</v>
      </c>
      <c r="L144" s="23">
        <f t="shared" si="57"/>
        <v>-0.68295570019506213</v>
      </c>
      <c r="M144" s="23">
        <f t="shared" si="57"/>
        <v>-0.50890904646161328</v>
      </c>
      <c r="N144" s="23">
        <f t="shared" si="57"/>
        <v>-0.33040252912719481</v>
      </c>
      <c r="O144" s="23">
        <f t="shared" si="57"/>
        <v>-0.14971006778137674</v>
      </c>
      <c r="P144" s="23">
        <f t="shared" si="57"/>
        <v>3.078036222325542E-2</v>
      </c>
      <c r="Q144" s="23">
        <f t="shared" si="57"/>
        <v>0.20869141322993556</v>
      </c>
      <c r="R144" s="23">
        <f t="shared" si="57"/>
        <v>0.38177987843737626</v>
      </c>
      <c r="S144" s="23">
        <f t="shared" si="57"/>
        <v>0.54804565701006558</v>
      </c>
      <c r="T144" s="23">
        <f t="shared" si="57"/>
        <v>0.70581543816935066</v>
      </c>
      <c r="U144" s="23">
        <f t="shared" si="57"/>
        <v>0.85379472967417147</v>
      </c>
      <c r="V144" s="23">
        <f t="shared" si="57"/>
        <v>0.99108682422662597</v>
      </c>
      <c r="W144" s="23">
        <f t="shared" si="57"/>
        <v>1.1171817614445945</v>
      </c>
      <c r="X144" s="67">
        <f t="shared" si="57"/>
        <v>1.2319215060534479</v>
      </c>
    </row>
    <row r="145" spans="2:24" x14ac:dyDescent="0.35">
      <c r="B145" s="76"/>
      <c r="C145" s="17">
        <v>0.5</v>
      </c>
      <c r="D145" s="23">
        <f t="shared" ref="D145" si="67">(D171*$P$7) + $P$9</f>
        <v>-1.6696580219749668</v>
      </c>
      <c r="E145" s="23">
        <f t="shared" si="59"/>
        <v>-1.5666238325194084</v>
      </c>
      <c r="F145" s="23">
        <f t="shared" si="57"/>
        <v>-1.4523899834340623</v>
      </c>
      <c r="G145" s="23">
        <f t="shared" si="57"/>
        <v>-1.3268013273569546</v>
      </c>
      <c r="H145" s="23">
        <f t="shared" si="57"/>
        <v>-1.1900012775726991</v>
      </c>
      <c r="I145" s="23">
        <f t="shared" si="57"/>
        <v>-1.0424831834097028</v>
      </c>
      <c r="J145" s="23">
        <f t="shared" si="57"/>
        <v>-0.88512603864587458</v>
      </c>
      <c r="K145" s="23">
        <f t="shared" si="57"/>
        <v>-0.71920673207758634</v>
      </c>
      <c r="L145" s="23">
        <f t="shared" si="57"/>
        <v>-0.54638251566117058</v>
      </c>
      <c r="M145" s="23">
        <f t="shared" si="57"/>
        <v>-0.36864045933512557</v>
      </c>
      <c r="N145" s="23">
        <f t="shared" si="57"/>
        <v>-0.18821508137910747</v>
      </c>
      <c r="O145" s="23">
        <f t="shared" si="57"/>
        <v>-7.4803111809340628E-3</v>
      </c>
      <c r="P145" s="23">
        <f t="shared" si="57"/>
        <v>0.17117364805752056</v>
      </c>
      <c r="Q145" s="23">
        <f t="shared" si="57"/>
        <v>0.34546524843104498</v>
      </c>
      <c r="R145" s="23">
        <f t="shared" si="57"/>
        <v>0.513334678122642</v>
      </c>
      <c r="S145" s="23">
        <f t="shared" si="57"/>
        <v>0.67303362231443353</v>
      </c>
      <c r="T145" s="23">
        <f t="shared" si="57"/>
        <v>0.82318431124410019</v>
      </c>
      <c r="U145" s="23">
        <f t="shared" si="57"/>
        <v>0.96280539955521793</v>
      </c>
      <c r="V145" s="23">
        <f t="shared" si="57"/>
        <v>1.0913068736076228</v>
      </c>
      <c r="W145" s="23">
        <f t="shared" si="57"/>
        <v>1.2084596670037062</v>
      </c>
      <c r="X145" s="67">
        <f t="shared" si="57"/>
        <v>1.3143475520750578</v>
      </c>
    </row>
    <row r="146" spans="2:24" x14ac:dyDescent="0.35">
      <c r="B146" s="76"/>
      <c r="C146" s="17">
        <v>0.45</v>
      </c>
      <c r="D146" s="23">
        <f t="shared" ref="D146" si="68">(D172*$P$7) + $P$9</f>
        <v>-1.5894709876906115</v>
      </c>
      <c r="E146" s="23">
        <f t="shared" si="59"/>
        <v>-1.4776417631614285</v>
      </c>
      <c r="F146" s="23">
        <f t="shared" si="57"/>
        <v>-1.354467672227988</v>
      </c>
      <c r="G146" s="23">
        <f t="shared" si="57"/>
        <v>-1.220023930168932</v>
      </c>
      <c r="H146" s="23">
        <f t="shared" si="57"/>
        <v>-1.074725798682858</v>
      </c>
      <c r="I146" s="23">
        <f t="shared" si="57"/>
        <v>-0.91936829921975916</v>
      </c>
      <c r="J146" s="23">
        <f t="shared" si="57"/>
        <v>-0.75514405810462515</v>
      </c>
      <c r="K146" s="23">
        <f t="shared" si="57"/>
        <v>-0.58363250947472345</v>
      </c>
      <c r="L146" s="23">
        <f t="shared" si="57"/>
        <v>-0.40675643826339458</v>
      </c>
      <c r="M146" s="23">
        <f t="shared" si="57"/>
        <v>-0.22670603301178005</v>
      </c>
      <c r="N146" s="23">
        <f t="shared" si="57"/>
        <v>-4.5835555072746281E-2</v>
      </c>
      <c r="O146" s="23">
        <f t="shared" si="57"/>
        <v>0.13345764121252679</v>
      </c>
      <c r="P146" s="23">
        <f t="shared" si="57"/>
        <v>0.30885882690156929</v>
      </c>
      <c r="Q146" s="23">
        <f t="shared" si="57"/>
        <v>0.47825256863438148</v>
      </c>
      <c r="R146" s="23">
        <f t="shared" si="57"/>
        <v>0.63981822863964721</v>
      </c>
      <c r="S146" s="23">
        <f t="shared" si="57"/>
        <v>0.79209592238049398</v>
      </c>
      <c r="T146" s="23">
        <f t="shared" si="57"/>
        <v>0.93401941470842154</v>
      </c>
      <c r="U146" s="23">
        <f t="shared" si="57"/>
        <v>1.0649172355672496</v>
      </c>
      <c r="V146" s="23">
        <f t="shared" si="57"/>
        <v>1.1844870811315322</v>
      </c>
      <c r="W146" s="23">
        <f t="shared" si="57"/>
        <v>1.2927508045924494</v>
      </c>
      <c r="X146" s="67">
        <f t="shared" si="57"/>
        <v>1.3899979379958136</v>
      </c>
    </row>
    <row r="147" spans="2:24" x14ac:dyDescent="0.35">
      <c r="B147" s="76"/>
      <c r="C147" s="17">
        <v>0.4</v>
      </c>
      <c r="D147" s="23">
        <f t="shared" ref="D147" si="69">(D173*$P$7) + $P$9</f>
        <v>-1.5023790623156019</v>
      </c>
      <c r="E147" s="23">
        <f t="shared" si="59"/>
        <v>-1.3816227436386082</v>
      </c>
      <c r="F147" s="23">
        <f t="shared" si="57"/>
        <v>-1.2495539563779277</v>
      </c>
      <c r="G147" s="23">
        <f t="shared" si="57"/>
        <v>-1.1065117010859686</v>
      </c>
      <c r="H147" s="23">
        <f t="shared" si="57"/>
        <v>-0.95320785971885691</v>
      </c>
      <c r="I147" s="23">
        <f t="shared" si="57"/>
        <v>-0.79075032266208112</v>
      </c>
      <c r="J147" s="23">
        <f t="shared" si="57"/>
        <v>-0.62063873922968815</v>
      </c>
      <c r="K147" s="23">
        <f t="shared" si="57"/>
        <v>-0.44472815360190721</v>
      </c>
      <c r="L147" s="23">
        <f t="shared" si="57"/>
        <v>-0.26515971226605206</v>
      </c>
      <c r="M147" s="23">
        <f t="shared" si="57"/>
        <v>-8.4262485600398396E-2</v>
      </c>
      <c r="N147" s="23">
        <f t="shared" si="57"/>
        <v>9.5564761590040792E-2</v>
      </c>
      <c r="O147" s="23">
        <f t="shared" si="57"/>
        <v>0.27197944427155019</v>
      </c>
      <c r="P147" s="23">
        <f t="shared" si="57"/>
        <v>0.4428148603687847</v>
      </c>
      <c r="Q147" s="23">
        <f t="shared" si="57"/>
        <v>0.60618104690123542</v>
      </c>
      <c r="R147" s="23">
        <f t="shared" si="57"/>
        <v>0.76053748824285594</v>
      </c>
      <c r="S147" s="23">
        <f t="shared" si="57"/>
        <v>0.90473309093380783</v>
      </c>
      <c r="T147" s="23">
        <f t="shared" si="57"/>
        <v>1.0380137428577509</v>
      </c>
      <c r="U147" s="23">
        <f t="shared" si="57"/>
        <v>1.1600018365098554</v>
      </c>
      <c r="V147" s="23">
        <f t="shared" si="57"/>
        <v>1.2706547232322767</v>
      </c>
      <c r="W147" s="23">
        <f t="shared" si="57"/>
        <v>1.3702100269517183</v>
      </c>
      <c r="X147" s="67">
        <f t="shared" si="57"/>
        <v>1.4591253277406127</v>
      </c>
    </row>
    <row r="148" spans="2:24" x14ac:dyDescent="0.35">
      <c r="B148" s="76"/>
      <c r="C148" s="17">
        <v>0.35</v>
      </c>
      <c r="D148" s="23">
        <f t="shared" ref="D148" si="70">(D174*$P$7) + $P$9</f>
        <v>-1.4082646424548346</v>
      </c>
      <c r="E148" s="23">
        <f t="shared" si="59"/>
        <v>-1.2785859925064549</v>
      </c>
      <c r="F148" s="23">
        <f t="shared" si="57"/>
        <v>-1.1378317449995463</v>
      </c>
      <c r="G148" s="23">
        <f t="shared" si="57"/>
        <v>-0.98663171561578</v>
      </c>
      <c r="H148" s="23">
        <f t="shared" si="57"/>
        <v>-0.82600888429537944</v>
      </c>
      <c r="I148" s="23">
        <f t="shared" si="57"/>
        <v>-0.65738147317049744</v>
      </c>
      <c r="J148" s="23">
        <f t="shared" si="57"/>
        <v>-0.4825336350488314</v>
      </c>
      <c r="K148" s="23">
        <f t="shared" si="57"/>
        <v>-0.30355299859170559</v>
      </c>
      <c r="L148" s="23">
        <f t="shared" si="57"/>
        <v>-0.1227380466239727</v>
      </c>
      <c r="M148" s="23">
        <f t="shared" si="57"/>
        <v>5.7516793421119816E-2</v>
      </c>
      <c r="N148" s="23">
        <f t="shared" si="57"/>
        <v>0.23484654470363697</v>
      </c>
      <c r="O148" s="23">
        <f t="shared" si="57"/>
        <v>0.40703783513159997</v>
      </c>
      <c r="P148" s="23">
        <f t="shared" si="57"/>
        <v>0.57213468373939502</v>
      </c>
      <c r="Q148" s="23">
        <f t="shared" si="57"/>
        <v>0.72851775141706043</v>
      </c>
      <c r="R148" s="23">
        <f t="shared" si="57"/>
        <v>0.87495141199729853</v>
      </c>
      <c r="S148" s="23">
        <f t="shared" si="57"/>
        <v>1.0105979586773413</v>
      </c>
      <c r="T148" s="23">
        <f t="shared" si="57"/>
        <v>1.1350025707721216</v>
      </c>
      <c r="U148" s="23">
        <f t="shared" si="57"/>
        <v>1.2480555953010746</v>
      </c>
      <c r="V148" s="23">
        <f t="shared" si="57"/>
        <v>1.34993999584026</v>
      </c>
      <c r="W148" s="23">
        <f t="shared" si="57"/>
        <v>1.4410716620103847</v>
      </c>
      <c r="X148" s="67">
        <f t="shared" si="57"/>
        <v>1.5220390902270822</v>
      </c>
    </row>
    <row r="149" spans="2:24" x14ac:dyDescent="0.35">
      <c r="B149" s="76"/>
      <c r="C149" s="17">
        <v>0.3</v>
      </c>
      <c r="D149" s="23">
        <f t="shared" ref="D149" si="71">(D175*$P$7) + $P$9</f>
        <v>-1.3071154452651705</v>
      </c>
      <c r="E149" s="23">
        <f t="shared" si="59"/>
        <v>-1.1686776050030478</v>
      </c>
      <c r="F149" s="23">
        <f t="shared" si="57"/>
        <v>-1.0196276755121301</v>
      </c>
      <c r="G149" s="23">
        <f t="shared" si="57"/>
        <v>-0.86090384051689872</v>
      </c>
      <c r="H149" s="23">
        <f t="shared" si="57"/>
        <v>-0.69384157525790213</v>
      </c>
      <c r="I149" s="23">
        <f t="shared" si="57"/>
        <v>-0.52015130397060494</v>
      </c>
      <c r="J149" s="23">
        <f t="shared" si="57"/>
        <v>-0.34186291676778646</v>
      </c>
      <c r="K149" s="23">
        <f t="shared" si="57"/>
        <v>-0.16123906485247108</v>
      </c>
      <c r="L149" s="23">
        <f t="shared" si="57"/>
        <v>1.9335887537849317E-2</v>
      </c>
      <c r="M149" s="23">
        <f t="shared" si="57"/>
        <v>0.19748014865335084</v>
      </c>
      <c r="N149" s="23">
        <f t="shared" si="57"/>
        <v>0.37093850145271445</v>
      </c>
      <c r="O149" s="23">
        <f t="shared" si="57"/>
        <v>0.5376925542433626</v>
      </c>
      <c r="P149" s="23">
        <f t="shared" si="57"/>
        <v>0.69604627690610021</v>
      </c>
      <c r="Q149" s="23">
        <f t="shared" si="57"/>
        <v>0.84468013977372758</v>
      </c>
      <c r="R149" s="23">
        <f t="shared" si="57"/>
        <v>0.98267213657176455</v>
      </c>
      <c r="S149" s="23">
        <f t="shared" si="57"/>
        <v>1.1094884973865726</v>
      </c>
      <c r="T149" s="23">
        <f t="shared" si="57"/>
        <v>1.2249501583594964</v>
      </c>
      <c r="U149" s="23">
        <f t="shared" si="57"/>
        <v>1.3291826975562993</v>
      </c>
      <c r="V149" s="23">
        <f t="shared" si="57"/>
        <v>1.4225575668702133</v>
      </c>
      <c r="W149" s="23">
        <f t="shared" si="57"/>
        <v>1.505631442424312</v>
      </c>
      <c r="X149" s="67">
        <f t="shared" si="57"/>
        <v>1.5790888842639768</v>
      </c>
    </row>
    <row r="150" spans="2:24" x14ac:dyDescent="0.35">
      <c r="B150" s="76"/>
      <c r="C150" s="17">
        <v>0.25</v>
      </c>
      <c r="D150" s="23">
        <f t="shared" ref="D150" si="72">(D176*$P$7) + $P$9</f>
        <v>-1.1990417695804068</v>
      </c>
      <c r="E150" s="23">
        <f t="shared" si="59"/>
        <v>-1.052184368019534</v>
      </c>
      <c r="F150" s="23">
        <f t="shared" si="57"/>
        <v>-0.89542004944848186</v>
      </c>
      <c r="G150" s="23">
        <f t="shared" si="57"/>
        <v>-0.73000054117866409</v>
      </c>
      <c r="H150" s="23">
        <f t="shared" si="57"/>
        <v>-0.55756002111936676</v>
      </c>
      <c r="I150" s="23">
        <f t="shared" si="57"/>
        <v>-0.38006669162689821</v>
      </c>
      <c r="J150" s="23">
        <f t="shared" ref="F150:X155" si="73">(J176*$P$7) + $P$9</f>
        <v>-0.19974230557975226</v>
      </c>
      <c r="K150" s="23">
        <f t="shared" si="73"/>
        <v>-1.8955489187971519E-2</v>
      </c>
      <c r="L150" s="23">
        <f t="shared" si="73"/>
        <v>0.15990081270241685</v>
      </c>
      <c r="M150" s="23">
        <f t="shared" si="73"/>
        <v>0.33453456818001093</v>
      </c>
      <c r="N150" s="23">
        <f t="shared" si="73"/>
        <v>0.50286887041859574</v>
      </c>
      <c r="O150" s="23">
        <f t="shared" si="73"/>
        <v>0.66313345446402017</v>
      </c>
      <c r="P150" s="23">
        <f t="shared" si="73"/>
        <v>0.81392582786432977</v>
      </c>
      <c r="Q150" s="23">
        <f t="shared" si="73"/>
        <v>0.95423924191134724</v>
      </c>
      <c r="R150" s="23">
        <f t="shared" si="73"/>
        <v>1.0834594314406005</v>
      </c>
      <c r="S150" s="23">
        <f t="shared" si="73"/>
        <v>1.201335627173636</v>
      </c>
      <c r="T150" s="23">
        <f t="shared" si="73"/>
        <v>1.3079333370782715</v>
      </c>
      <c r="U150" s="23">
        <f t="shared" si="73"/>
        <v>1.4035768116787464</v>
      </c>
      <c r="V150" s="23">
        <f t="shared" si="73"/>
        <v>1.4887882995663555</v>
      </c>
      <c r="W150" s="23">
        <f t="shared" si="73"/>
        <v>1.5642296588120332</v>
      </c>
      <c r="X150" s="67">
        <f t="shared" si="73"/>
        <v>1.630650094969218</v>
      </c>
    </row>
    <row r="151" spans="2:24" x14ac:dyDescent="0.35">
      <c r="B151" s="76"/>
      <c r="C151" s="17">
        <v>0.2</v>
      </c>
      <c r="D151" s="23">
        <f t="shared" ref="D151" si="74">(D177*$P$7) + $P$9</f>
        <v>-1.084291245648155</v>
      </c>
      <c r="E151" s="23">
        <f t="shared" si="59"/>
        <v>-0.92954314828230888</v>
      </c>
      <c r="F151" s="23">
        <f t="shared" si="73"/>
        <v>-0.76584053144448205</v>
      </c>
      <c r="G151" s="23">
        <f t="shared" si="73"/>
        <v>-0.59473913219231456</v>
      </c>
      <c r="H151" s="23">
        <f t="shared" si="73"/>
        <v>-0.41814180176221161</v>
      </c>
      <c r="I151" s="23">
        <f t="shared" si="73"/>
        <v>-0.23822452873503686</v>
      </c>
      <c r="J151" s="23">
        <f t="shared" si="73"/>
        <v>-5.7334605992967358E-2</v>
      </c>
      <c r="K151" s="23">
        <f t="shared" si="73"/>
        <v>0.12212958682640651</v>
      </c>
      <c r="L151" s="23">
        <f t="shared" si="73"/>
        <v>0.29784441497499348</v>
      </c>
      <c r="M151" s="23">
        <f t="shared" si="73"/>
        <v>0.46767862650843539</v>
      </c>
      <c r="N151" s="23">
        <f t="shared" si="73"/>
        <v>0.6297904981533573</v>
      </c>
      <c r="O151" s="23">
        <f t="shared" si="73"/>
        <v>0.78269583308356316</v>
      </c>
      <c r="P151" s="23">
        <f t="shared" si="73"/>
        <v>0.92530297199877132</v>
      </c>
      <c r="Q151" s="23">
        <f t="shared" si="73"/>
        <v>1.0569158147919415</v>
      </c>
      <c r="R151" s="23">
        <f t="shared" si="73"/>
        <v>1.1772097206478156</v>
      </c>
      <c r="S151" s="23">
        <f t="shared" si="73"/>
        <v>1.286187497595165</v>
      </c>
      <c r="T151" s="23">
        <f t="shared" si="73"/>
        <v>1.384123425460341</v>
      </c>
      <c r="U151" s="23">
        <f t="shared" si="73"/>
        <v>1.4715026692334623</v>
      </c>
      <c r="V151" s="23">
        <f t="shared" si="73"/>
        <v>1.5489620124038554</v>
      </c>
      <c r="W151" s="23">
        <f t="shared" si="73"/>
        <v>1.6172360639767553</v>
      </c>
      <c r="X151" s="67">
        <f t="shared" si="73"/>
        <v>1.6771113575871126</v>
      </c>
    </row>
    <row r="152" spans="2:24" x14ac:dyDescent="0.35">
      <c r="B152" s="76"/>
      <c r="C152" s="17">
        <v>0.15</v>
      </c>
      <c r="D152" s="23">
        <f t="shared" ref="D152" si="75">(D178*$P$7) + $P$9</f>
        <v>-0.96325956856453665</v>
      </c>
      <c r="E152" s="23">
        <f t="shared" si="59"/>
        <v>-0.80134440148123653</v>
      </c>
      <c r="F152" s="23">
        <f t="shared" si="73"/>
        <v>-0.63166851103538901</v>
      </c>
      <c r="G152" s="23">
        <f t="shared" si="73"/>
        <v>-0.45606603195056961</v>
      </c>
      <c r="H152" s="23">
        <f t="shared" si="73"/>
        <v>-0.27666254496091414</v>
      </c>
      <c r="I152" s="23">
        <f t="shared" si="73"/>
        <v>-9.5778521704006803E-2</v>
      </c>
      <c r="J152" s="23">
        <f t="shared" si="73"/>
        <v>8.418796927110983E-2</v>
      </c>
      <c r="K152" s="23">
        <f t="shared" si="73"/>
        <v>0.2608870597823798</v>
      </c>
      <c r="L152" s="23">
        <f t="shared" si="73"/>
        <v>0.4321375811417274</v>
      </c>
      <c r="M152" s="23">
        <f t="shared" si="73"/>
        <v>0.59602944301902649</v>
      </c>
      <c r="N152" s="23">
        <f t="shared" si="73"/>
        <v>0.75099832466280625</v>
      </c>
      <c r="O152" s="23">
        <f t="shared" si="73"/>
        <v>0.89586777464352618</v>
      </c>
      <c r="P152" s="23">
        <f t="shared" si="73"/>
        <v>1.0298587404377995</v>
      </c>
      <c r="Q152" s="23">
        <f t="shared" si="73"/>
        <v>1.1525706886212903</v>
      </c>
      <c r="R152" s="23">
        <f t="shared" si="73"/>
        <v>1.2639411669816072</v>
      </c>
      <c r="S152" s="23">
        <f t="shared" si="73"/>
        <v>1.3641917211066787</v>
      </c>
      <c r="T152" s="23">
        <f t="shared" si="73"/>
        <v>1.4537677351663811</v>
      </c>
      <c r="U152" s="23">
        <f t="shared" si="73"/>
        <v>1.5332784749391801</v>
      </c>
      <c r="V152" s="23">
        <f t="shared" si="73"/>
        <v>1.6034418722144508</v>
      </c>
      <c r="W152" s="23">
        <f t="shared" si="73"/>
        <v>1.6650368204563408</v>
      </c>
      <c r="X152" s="67">
        <f t="shared" si="73"/>
        <v>1.7188642250146782</v>
      </c>
    </row>
    <row r="153" spans="2:24" x14ac:dyDescent="0.35">
      <c r="B153" s="76"/>
      <c r="C153" s="17">
        <v>0.1</v>
      </c>
      <c r="D153" s="23">
        <f t="shared" ref="D153" si="76">(D179*$P$7) + $P$9</f>
        <v>-0.83649572863207622</v>
      </c>
      <c r="E153" s="23">
        <f t="shared" si="59"/>
        <v>-0.66832860031306707</v>
      </c>
      <c r="F153" s="23">
        <f t="shared" si="73"/>
        <v>-0.49381752403618062</v>
      </c>
      <c r="G153" s="23">
        <f t="shared" si="73"/>
        <v>-0.31503327143152537</v>
      </c>
      <c r="H153" s="23">
        <f t="shared" si="73"/>
        <v>-0.13426413928904557</v>
      </c>
      <c r="I153" s="23">
        <f t="shared" si="73"/>
        <v>4.6097859231601479E-2</v>
      </c>
      <c r="J153" s="23">
        <f t="shared" si="73"/>
        <v>0.22368212336827908</v>
      </c>
      <c r="K153" s="23">
        <f t="shared" si="73"/>
        <v>0.39626223629802948</v>
      </c>
      <c r="L153" s="23">
        <f t="shared" si="73"/>
        <v>0.56186313878572602</v>
      </c>
      <c r="M153" s="23">
        <f t="shared" si="73"/>
        <v>0.71884229102518304</v>
      </c>
      <c r="N153" s="23">
        <f t="shared" si="73"/>
        <v>0.86593886503887751</v>
      </c>
      <c r="O153" s="23">
        <f t="shared" si="73"/>
        <v>1.0022899759480386</v>
      </c>
      <c r="P153" s="23">
        <f t="shared" si="73"/>
        <v>1.1274173384038086</v>
      </c>
      <c r="Q153" s="23">
        <f t="shared" si="73"/>
        <v>1.2411907645327676</v>
      </c>
      <c r="R153" s="23">
        <f t="shared" si="73"/>
        <v>1.3437763201846877</v>
      </c>
      <c r="S153" s="23">
        <f t="shared" si="73"/>
        <v>1.4355768788264058</v>
      </c>
      <c r="T153" s="23">
        <f t="shared" si="73"/>
        <v>1.5171716797280652</v>
      </c>
      <c r="U153" s="23">
        <f t="shared" si="73"/>
        <v>1.5892598141660095</v>
      </c>
      <c r="V153" s="23">
        <f t="shared" si="73"/>
        <v>1.6526107725147985</v>
      </c>
      <c r="W153" s="23">
        <f t="shared" si="73"/>
        <v>1.7080235915793378</v>
      </c>
      <c r="X153" s="67">
        <f t="shared" si="73"/>
        <v>1.756294902702725</v>
      </c>
    </row>
    <row r="154" spans="2:24" x14ac:dyDescent="0.35">
      <c r="B154" s="76"/>
      <c r="C154" s="17">
        <v>0.05</v>
      </c>
      <c r="D154" s="23">
        <f t="shared" ref="D154" si="77">(D180*$P$7) + $P$9</f>
        <v>-0.70470044948642085</v>
      </c>
      <c r="E154" s="23">
        <f t="shared" si="59"/>
        <v>-0.53137482603261033</v>
      </c>
      <c r="F154" s="23">
        <f t="shared" si="73"/>
        <v>-0.35331378712590933</v>
      </c>
      <c r="G154" s="23">
        <f t="shared" si="73"/>
        <v>-0.17276826120305255</v>
      </c>
      <c r="H154" s="23">
        <f t="shared" si="73"/>
        <v>7.8815075462235207E-3</v>
      </c>
      <c r="I154" s="23">
        <f t="shared" si="73"/>
        <v>0.18624979104389139</v>
      </c>
      <c r="J154" s="23">
        <f t="shared" si="73"/>
        <v>0.36006981310303421</v>
      </c>
      <c r="K154" s="23">
        <f t="shared" si="73"/>
        <v>0.52730524050155192</v>
      </c>
      <c r="L154" s="23">
        <f t="shared" si="73"/>
        <v>0.68623754399406445</v>
      </c>
      <c r="M154" s="23">
        <f t="shared" si="73"/>
        <v>0.83552224077843951</v>
      </c>
      <c r="N154" s="23">
        <f t="shared" si="73"/>
        <v>0.97421198580446089</v>
      </c>
      <c r="O154" s="23">
        <f t="shared" si="73"/>
        <v>1.1017490609178648</v>
      </c>
      <c r="P154" s="23">
        <f t="shared" si="73"/>
        <v>1.2179331678627727</v>
      </c>
      <c r="Q154" s="23">
        <f t="shared" si="73"/>
        <v>1.3228721782913921</v>
      </c>
      <c r="R154" s="23">
        <f t="shared" si="73"/>
        <v>1.4169237017196452</v>
      </c>
      <c r="S154" s="23">
        <f t="shared" si="73"/>
        <v>1.5006343820297252</v>
      </c>
      <c r="T154" s="23">
        <f t="shared" si="73"/>
        <v>1.5746822264775406</v>
      </c>
      <c r="U154" s="23">
        <f t="shared" si="73"/>
        <v>1.6398254725459906</v>
      </c>
      <c r="V154" s="23">
        <f t="shared" si="73"/>
        <v>1.6968598445502461</v>
      </c>
      <c r="W154" s="23">
        <f t="shared" si="73"/>
        <v>1.7465847310259761</v>
      </c>
      <c r="X154" s="67">
        <f t="shared" si="73"/>
        <v>1.7897778855013651</v>
      </c>
    </row>
    <row r="155" spans="2:24" ht="15" thickBot="1" x14ac:dyDescent="0.4">
      <c r="B155" s="77"/>
      <c r="C155" s="18">
        <v>0</v>
      </c>
      <c r="D155" s="23">
        <f t="shared" ref="D155" si="78">(D181*$P$7) + $P$9</f>
        <v>-0.56871693921587285</v>
      </c>
      <c r="E155" s="23">
        <f t="shared" si="59"/>
        <v>-0.39148138727624504</v>
      </c>
      <c r="F155" s="23">
        <f t="shared" si="73"/>
        <v>-0.21126764524812369</v>
      </c>
      <c r="G155" s="23">
        <f t="shared" si="73"/>
        <v>-3.0438534365628378E-2</v>
      </c>
      <c r="H155" s="23">
        <f t="shared" si="73"/>
        <v>0.14861077171355896</v>
      </c>
      <c r="I155" s="23">
        <f t="shared" si="73"/>
        <v>0.32357822448853968</v>
      </c>
      <c r="J155" s="23">
        <f t="shared" si="73"/>
        <v>0.49237019606751975</v>
      </c>
      <c r="K155" s="23">
        <f t="shared" si="73"/>
        <v>0.65319472030769177</v>
      </c>
      <c r="L155" s="23">
        <f t="shared" si="73"/>
        <v>0.80462469485204169</v>
      </c>
      <c r="M155" s="23">
        <f t="shared" si="73"/>
        <v>0.94562795248503173</v>
      </c>
      <c r="N155" s="23">
        <f t="shared" si="73"/>
        <v>1.0755658563087667</v>
      </c>
      <c r="O155" s="23">
        <f t="shared" si="73"/>
        <v>1.1941657398623562</v>
      </c>
      <c r="P155" s="23">
        <f t="shared" si="73"/>
        <v>1.3014746108887101</v>
      </c>
      <c r="Q155" s="23">
        <f t="shared" si="73"/>
        <v>1.3978020484519391</v>
      </c>
      <c r="R155" s="23">
        <f t="shared" si="73"/>
        <v>1.4836594784285331</v>
      </c>
      <c r="S155" s="23">
        <f t="shared" si="73"/>
        <v>1.5597015033669464</v>
      </c>
      <c r="T155" s="23">
        <f t="shared" si="73"/>
        <v>1.626673171656442</v>
      </c>
      <c r="U155" s="23">
        <f t="shared" si="73"/>
        <v>1.6853653659851116</v>
      </c>
      <c r="V155" s="23">
        <f t="shared" si="73"/>
        <v>1.7365790906837859</v>
      </c>
      <c r="W155" s="23">
        <f t="shared" si="73"/>
        <v>1.781098425582909</v>
      </c>
      <c r="X155" s="68">
        <f t="shared" si="73"/>
        <v>1.8196712789043852</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78" t="s">
        <v>51</v>
      </c>
      <c r="E157" s="79"/>
      <c r="F157" s="79"/>
      <c r="G157" s="79"/>
      <c r="H157" s="79"/>
      <c r="I157" s="79"/>
      <c r="J157" s="79"/>
      <c r="K157" s="79"/>
      <c r="L157" s="79"/>
      <c r="M157" s="79"/>
      <c r="N157" s="79"/>
      <c r="O157" s="79"/>
      <c r="P157" s="79"/>
      <c r="Q157" s="79"/>
      <c r="R157" s="79"/>
      <c r="S157" s="79"/>
      <c r="T157" s="79"/>
      <c r="U157" s="79"/>
      <c r="V157" s="79"/>
      <c r="W157" s="79"/>
      <c r="X157" s="80"/>
    </row>
    <row r="159" spans="2:24" ht="15" thickBot="1" x14ac:dyDescent="0.4"/>
    <row r="160" spans="2:24" ht="21.5" thickBot="1" x14ac:dyDescent="0.55000000000000004">
      <c r="B160" s="81" t="s">
        <v>12</v>
      </c>
      <c r="C160" s="82"/>
      <c r="D160" s="82"/>
      <c r="E160" s="82"/>
      <c r="F160" s="82"/>
      <c r="G160" s="82"/>
      <c r="H160" s="82"/>
      <c r="I160" s="82"/>
      <c r="J160" s="82"/>
      <c r="K160" s="82"/>
      <c r="L160" s="82"/>
      <c r="M160" s="82"/>
      <c r="N160" s="82"/>
      <c r="O160" s="82"/>
      <c r="P160" s="82"/>
      <c r="Q160" s="82"/>
      <c r="R160" s="82"/>
      <c r="S160" s="82"/>
      <c r="T160" s="82"/>
      <c r="U160" s="82"/>
      <c r="V160" s="82"/>
      <c r="W160" s="82"/>
      <c r="X160" s="83"/>
    </row>
    <row r="161" spans="2:24" x14ac:dyDescent="0.35">
      <c r="B161" s="75" t="s">
        <v>2</v>
      </c>
      <c r="C161" s="20">
        <v>1</v>
      </c>
      <c r="D161" s="25">
        <f>1/(1+EXP(-D187))</f>
        <v>0.9498165467241676</v>
      </c>
      <c r="E161" s="24">
        <f>1/(1+EXP(-E187))</f>
        <v>0.94143288161779914</v>
      </c>
      <c r="F161" s="24">
        <f t="shared" ref="F161:X161" si="79">1/(1+EXP(-F187))</f>
        <v>0.9317492794805593</v>
      </c>
      <c r="G161" s="24">
        <f t="shared" si="79"/>
        <v>0.92059960874819347</v>
      </c>
      <c r="H161" s="24">
        <f t="shared" si="79"/>
        <v>0.90780871167746635</v>
      </c>
      <c r="I161" s="24">
        <f t="shared" si="79"/>
        <v>0.89319633588944103</v>
      </c>
      <c r="J161" s="24">
        <f t="shared" si="79"/>
        <v>0.87658276100309851</v>
      </c>
      <c r="K161" s="24">
        <f t="shared" si="79"/>
        <v>0.85779634083301537</v>
      </c>
      <c r="L161" s="24">
        <f t="shared" si="79"/>
        <v>0.83668305814848354</v>
      </c>
      <c r="M161" s="24">
        <f t="shared" si="79"/>
        <v>0.81311798343798947</v>
      </c>
      <c r="N161" s="24">
        <f t="shared" si="79"/>
        <v>0.78701823494774981</v>
      </c>
      <c r="O161" s="24">
        <f t="shared" si="79"/>
        <v>0.75835666689835834</v>
      </c>
      <c r="P161" s="24">
        <f t="shared" si="79"/>
        <v>0.72717510706235566</v>
      </c>
      <c r="Q161" s="24">
        <f t="shared" si="79"/>
        <v>0.69359559838085572</v>
      </c>
      <c r="R161" s="24">
        <f t="shared" si="79"/>
        <v>0.65782787580037372</v>
      </c>
      <c r="S161" s="24">
        <f t="shared" si="79"/>
        <v>0.62017134252922812</v>
      </c>
      <c r="T161" s="24">
        <f t="shared" si="79"/>
        <v>0.58101018758473988</v>
      </c>
      <c r="U161" s="24">
        <f t="shared" si="79"/>
        <v>0.54080102873198854</v>
      </c>
      <c r="V161" s="24">
        <f t="shared" si="79"/>
        <v>0.50005348969599595</v>
      </c>
      <c r="W161" s="24">
        <f t="shared" si="79"/>
        <v>0.45930524014956448</v>
      </c>
      <c r="X161" s="26">
        <f t="shared" si="79"/>
        <v>0.41909398714390989</v>
      </c>
    </row>
    <row r="162" spans="2:24" x14ac:dyDescent="0.35">
      <c r="B162" s="76"/>
      <c r="C162" s="17">
        <v>0.95</v>
      </c>
      <c r="D162" s="27">
        <f>1/(1+EXP(-D188))</f>
        <v>0.94331985489086145</v>
      </c>
      <c r="E162" s="23">
        <f t="shared" ref="E162:X162" si="80">1/(1+EXP(-E188))</f>
        <v>0.93392635145460701</v>
      </c>
      <c r="F162" s="23">
        <f t="shared" si="80"/>
        <v>0.92310298261150525</v>
      </c>
      <c r="G162" s="23">
        <f t="shared" si="80"/>
        <v>0.91067623397694797</v>
      </c>
      <c r="H162" s="23">
        <f t="shared" si="80"/>
        <v>0.89646652710397612</v>
      </c>
      <c r="I162" s="23">
        <f t="shared" si="80"/>
        <v>0.88029346422100352</v>
      </c>
      <c r="J162" s="23">
        <f t="shared" si="80"/>
        <v>0.86198294946001808</v>
      </c>
      <c r="K162" s="23">
        <f t="shared" si="80"/>
        <v>0.84137631625546827</v>
      </c>
      <c r="L162" s="23">
        <f t="shared" si="80"/>
        <v>0.81834140350682116</v>
      </c>
      <c r="M162" s="23">
        <f t="shared" si="80"/>
        <v>0.79278524752889012</v>
      </c>
      <c r="N162" s="23">
        <f t="shared" si="80"/>
        <v>0.76466770032465325</v>
      </c>
      <c r="O162" s="23">
        <f t="shared" si="80"/>
        <v>0.73401488142981719</v>
      </c>
      <c r="P162" s="23">
        <f t="shared" si="80"/>
        <v>0.70093098784496</v>
      </c>
      <c r="Q162" s="23">
        <f t="shared" si="80"/>
        <v>0.66560672303788526</v>
      </c>
      <c r="R162" s="23">
        <f t="shared" si="80"/>
        <v>0.6283225755692351</v>
      </c>
      <c r="S162" s="23">
        <f t="shared" si="80"/>
        <v>0.58944547763203481</v>
      </c>
      <c r="T162" s="23">
        <f t="shared" si="80"/>
        <v>0.54941804156906127</v>
      </c>
      <c r="U162" s="23">
        <f t="shared" si="80"/>
        <v>0.50874054953419279</v>
      </c>
      <c r="V162" s="23">
        <f t="shared" si="80"/>
        <v>0.46794699091003672</v>
      </c>
      <c r="W162" s="23">
        <f t="shared" si="80"/>
        <v>0.4275774583503324</v>
      </c>
      <c r="X162" s="28">
        <f t="shared" si="80"/>
        <v>0.38814987208123447</v>
      </c>
    </row>
    <row r="163" spans="2:24" x14ac:dyDescent="0.35">
      <c r="B163" s="76"/>
      <c r="C163" s="17">
        <v>0.9</v>
      </c>
      <c r="D163" s="27">
        <f t="shared" ref="D163:X163" si="81">1/(1+EXP(-D189))</f>
        <v>0.93603874597387193</v>
      </c>
      <c r="E163" s="23">
        <f t="shared" si="81"/>
        <v>0.92553381325149964</v>
      </c>
      <c r="F163" s="23">
        <f t="shared" si="81"/>
        <v>0.91346306691526324</v>
      </c>
      <c r="G163" s="23">
        <f t="shared" si="81"/>
        <v>0.89964783893173805</v>
      </c>
      <c r="H163" s="23">
        <f t="shared" si="81"/>
        <v>0.88390737592656488</v>
      </c>
      <c r="I163" s="23">
        <f t="shared" si="81"/>
        <v>0.86606554560084903</v>
      </c>
      <c r="J163" s="23">
        <f t="shared" si="81"/>
        <v>0.84595953449821637</v>
      </c>
      <c r="K163" s="23">
        <f t="shared" si="81"/>
        <v>0.82345052679980291</v>
      </c>
      <c r="L163" s="23">
        <f t="shared" si="81"/>
        <v>0.79843609716743913</v>
      </c>
      <c r="M163" s="23">
        <f t="shared" si="81"/>
        <v>0.77086370955884809</v>
      </c>
      <c r="N163" s="23">
        <f t="shared" si="81"/>
        <v>0.74074431614102043</v>
      </c>
      <c r="O163" s="23">
        <f t="shared" si="81"/>
        <v>0.70816465598690614</v>
      </c>
      <c r="P163" s="23">
        <f t="shared" si="81"/>
        <v>0.6732965549443275</v>
      </c>
      <c r="Q163" s="23">
        <f t="shared" si="81"/>
        <v>0.63640143874154786</v>
      </c>
      <c r="R163" s="23">
        <f t="shared" si="81"/>
        <v>0.59782849505647284</v>
      </c>
      <c r="S163" s="23">
        <f t="shared" si="81"/>
        <v>0.5580055109870885</v>
      </c>
      <c r="T163" s="23">
        <f t="shared" si="81"/>
        <v>0.51742233411954897</v>
      </c>
      <c r="U163" s="23">
        <f t="shared" si="81"/>
        <v>0.47660801328666053</v>
      </c>
      <c r="V163" s="23">
        <f t="shared" si="81"/>
        <v>0.43610373561818716</v>
      </c>
      <c r="W163" s="23">
        <f t="shared" si="81"/>
        <v>0.39643442998421624</v>
      </c>
      <c r="X163" s="28">
        <f t="shared" si="81"/>
        <v>0.35808215329814569</v>
      </c>
    </row>
    <row r="164" spans="2:24" x14ac:dyDescent="0.35">
      <c r="B164" s="76"/>
      <c r="C164" s="17">
        <v>0.85</v>
      </c>
      <c r="D164" s="27">
        <f t="shared" ref="D164:X164" si="82">1/(1+EXP(-D190))</f>
        <v>0.92789380403468869</v>
      </c>
      <c r="E164" s="23">
        <f t="shared" si="82"/>
        <v>0.91617095640455704</v>
      </c>
      <c r="F164" s="23">
        <f t="shared" si="82"/>
        <v>0.90274200269817395</v>
      </c>
      <c r="G164" s="23">
        <f t="shared" si="82"/>
        <v>0.88742613684961913</v>
      </c>
      <c r="H164" s="23">
        <f t="shared" si="82"/>
        <v>0.87004558376757068</v>
      </c>
      <c r="I164" s="23">
        <f t="shared" si="82"/>
        <v>0.85043386732562598</v>
      </c>
      <c r="J164" s="23">
        <f t="shared" si="82"/>
        <v>0.82844608002258913</v>
      </c>
      <c r="K164" s="23">
        <f t="shared" si="82"/>
        <v>0.80397094941822844</v>
      </c>
      <c r="L164" s="23">
        <f t="shared" si="82"/>
        <v>0.77694417197144361</v>
      </c>
      <c r="M164" s="23">
        <f t="shared" si="82"/>
        <v>0.74736209531156961</v>
      </c>
      <c r="N164" s="23">
        <f t="shared" si="82"/>
        <v>0.7152944280682183</v>
      </c>
      <c r="O164" s="23">
        <f t="shared" si="82"/>
        <v>0.68089432853758947</v>
      </c>
      <c r="P164" s="23">
        <f t="shared" si="82"/>
        <v>0.64440408010599814</v>
      </c>
      <c r="Q164" s="23">
        <f t="shared" si="82"/>
        <v>0.60615471154027301</v>
      </c>
      <c r="R164" s="23">
        <f t="shared" si="82"/>
        <v>0.56655843235088532</v>
      </c>
      <c r="S164" s="23">
        <f t="shared" si="82"/>
        <v>0.52609361321970138</v>
      </c>
      <c r="T164" s="23">
        <f t="shared" si="82"/>
        <v>0.48528312702728077</v>
      </c>
      <c r="U164" s="23">
        <f t="shared" si="82"/>
        <v>0.44466795869906695</v>
      </c>
      <c r="V164" s="23">
        <f t="shared" si="82"/>
        <v>0.40477883098631662</v>
      </c>
      <c r="W164" s="23">
        <f t="shared" si="82"/>
        <v>0.3661089584938611</v>
      </c>
      <c r="X164" s="28">
        <f t="shared" si="82"/>
        <v>0.32909083366455766</v>
      </c>
    </row>
    <row r="165" spans="2:24" x14ac:dyDescent="0.35">
      <c r="B165" s="76"/>
      <c r="C165" s="17">
        <v>0.8</v>
      </c>
      <c r="D165" s="27">
        <f t="shared" ref="D165:X165" si="83">1/(1+EXP(-D191))</f>
        <v>0.91880164348327376</v>
      </c>
      <c r="E165" s="23">
        <f t="shared" si="83"/>
        <v>0.90575075853567533</v>
      </c>
      <c r="F165" s="23">
        <f t="shared" si="83"/>
        <v>0.89085141434082138</v>
      </c>
      <c r="G165" s="23">
        <f t="shared" si="83"/>
        <v>0.87392456704838151</v>
      </c>
      <c r="H165" s="23">
        <f t="shared" si="83"/>
        <v>0.85480054334155131</v>
      </c>
      <c r="I165" s="23">
        <f t="shared" si="83"/>
        <v>0.83332889201296145</v>
      </c>
      <c r="J165" s="23">
        <f t="shared" si="83"/>
        <v>0.80939010028429181</v>
      </c>
      <c r="K165" s="23">
        <f t="shared" si="83"/>
        <v>0.7829087211378325</v>
      </c>
      <c r="L165" s="23">
        <f t="shared" si="83"/>
        <v>0.75386707891156091</v>
      </c>
      <c r="M165" s="23">
        <f t="shared" si="83"/>
        <v>0.72231831498041044</v>
      </c>
      <c r="N165" s="23">
        <f t="shared" si="83"/>
        <v>0.68839718303797004</v>
      </c>
      <c r="O165" s="23">
        <f t="shared" si="83"/>
        <v>0.65232681118560276</v>
      </c>
      <c r="P165" s="23">
        <f t="shared" si="83"/>
        <v>0.61441972800575329</v>
      </c>
      <c r="Q165" s="23">
        <f t="shared" si="83"/>
        <v>0.57507188273531085</v>
      </c>
      <c r="R165" s="23">
        <f t="shared" si="83"/>
        <v>0.53474918191425025</v>
      </c>
      <c r="S165" s="23">
        <f t="shared" si="83"/>
        <v>0.49396711797762516</v>
      </c>
      <c r="T165" s="23">
        <f t="shared" si="83"/>
        <v>0.45326517799271149</v>
      </c>
      <c r="U165" s="23">
        <f t="shared" si="83"/>
        <v>0.41317863478057948</v>
      </c>
      <c r="V165" s="23">
        <f t="shared" si="83"/>
        <v>0.37421080201253404</v>
      </c>
      <c r="W165" s="23">
        <f t="shared" si="83"/>
        <v>0.33680874893880752</v>
      </c>
      <c r="X165" s="28">
        <f t="shared" si="83"/>
        <v>0.30134484291549446</v>
      </c>
    </row>
    <row r="166" spans="2:24" x14ac:dyDescent="0.35">
      <c r="B166" s="76"/>
      <c r="C166" s="17">
        <v>0.75</v>
      </c>
      <c r="D166" s="27">
        <f t="shared" ref="D166:X166" si="84">1/(1+EXP(-D192))</f>
        <v>0.90867585213489332</v>
      </c>
      <c r="E166" s="23">
        <f t="shared" si="84"/>
        <v>0.89418489822872382</v>
      </c>
      <c r="F166" s="23">
        <f t="shared" si="84"/>
        <v>0.87770404210631991</v>
      </c>
      <c r="G166" s="23">
        <f t="shared" si="84"/>
        <v>0.85906085960882428</v>
      </c>
      <c r="H166" s="23">
        <f t="shared" si="84"/>
        <v>0.83809988767772226</v>
      </c>
      <c r="I166" s="23">
        <f t="shared" si="84"/>
        <v>0.81469397029732982</v>
      </c>
      <c r="J166" s="23">
        <f t="shared" si="84"/>
        <v>0.78875714174317557</v>
      </c>
      <c r="K166" s="23">
        <f t="shared" si="84"/>
        <v>0.76025829928630673</v>
      </c>
      <c r="L166" s="23">
        <f t="shared" si="84"/>
        <v>0.72923451217140001</v>
      </c>
      <c r="M166" s="23">
        <f t="shared" si="84"/>
        <v>0.69580244183328177</v>
      </c>
      <c r="N166" s="23">
        <f t="shared" si="84"/>
        <v>0.6601661122780369</v>
      </c>
      <c r="O166" s="23">
        <f t="shared" si="84"/>
        <v>0.62261928312052894</v>
      </c>
      <c r="P166" s="23">
        <f t="shared" si="84"/>
        <v>0.58354103196007234</v>
      </c>
      <c r="Q166" s="23">
        <f t="shared" si="84"/>
        <v>0.54338387304974156</v>
      </c>
      <c r="R166" s="23">
        <f t="shared" si="84"/>
        <v>0.50265475058346454</v>
      </c>
      <c r="S166" s="23">
        <f t="shared" si="84"/>
        <v>0.46189036571443226</v>
      </c>
      <c r="T166" s="23">
        <f t="shared" si="84"/>
        <v>0.42162927459765392</v>
      </c>
      <c r="U166" s="23">
        <f t="shared" si="84"/>
        <v>0.38238378215615054</v>
      </c>
      <c r="V166" s="23">
        <f t="shared" si="84"/>
        <v>0.34461469411506879</v>
      </c>
      <c r="W166" s="23">
        <f t="shared" si="84"/>
        <v>0.3087114676786088</v>
      </c>
      <c r="X166" s="28">
        <f t="shared" si="84"/>
        <v>0.27497936090307201</v>
      </c>
    </row>
    <row r="167" spans="2:24" x14ac:dyDescent="0.35">
      <c r="B167" s="76"/>
      <c r="C167" s="17">
        <v>0.7</v>
      </c>
      <c r="D167" s="27">
        <f t="shared" ref="D167:X167" si="85">1/(1+EXP(-D193))</f>
        <v>0.89742829686765757</v>
      </c>
      <c r="E167" s="23">
        <f t="shared" si="85"/>
        <v>0.88138559435180686</v>
      </c>
      <c r="F167" s="23">
        <f t="shared" si="85"/>
        <v>0.86321617607962908</v>
      </c>
      <c r="G167" s="23">
        <f t="shared" si="85"/>
        <v>0.84276008197119179</v>
      </c>
      <c r="H167" s="23">
        <f t="shared" si="85"/>
        <v>0.81988309851582641</v>
      </c>
      <c r="I167" s="23">
        <f t="shared" si="85"/>
        <v>0.79448936424801664</v>
      </c>
      <c r="J167" s="23">
        <f t="shared" si="85"/>
        <v>0.76653495726498611</v>
      </c>
      <c r="K167" s="23">
        <f t="shared" si="85"/>
        <v>0.73604139799923041</v>
      </c>
      <c r="L167" s="23">
        <f t="shared" si="85"/>
        <v>0.70310761375830177</v>
      </c>
      <c r="M167" s="23">
        <f t="shared" si="85"/>
        <v>0.66791863705092913</v>
      </c>
      <c r="N167" s="23">
        <f t="shared" si="85"/>
        <v>0.63074926116174646</v>
      </c>
      <c r="O167" s="23">
        <f t="shared" si="85"/>
        <v>0.59196115316626607</v>
      </c>
      <c r="P167" s="23">
        <f t="shared" si="85"/>
        <v>0.55199256950213593</v>
      </c>
      <c r="Q167" s="23">
        <f t="shared" si="85"/>
        <v>0.51134078050227216</v>
      </c>
      <c r="R167" s="23">
        <f t="shared" si="85"/>
        <v>0.47053842745332658</v>
      </c>
      <c r="S167" s="23">
        <f t="shared" si="85"/>
        <v>0.43012606650507623</v>
      </c>
      <c r="T167" s="23">
        <f t="shared" si="85"/>
        <v>0.39062384180470316</v>
      </c>
      <c r="U167" s="23">
        <f t="shared" si="85"/>
        <v>0.35250539136412518</v>
      </c>
      <c r="V167" s="23">
        <f t="shared" si="85"/>
        <v>0.31617667894592283</v>
      </c>
      <c r="W167" s="23">
        <f t="shared" si="85"/>
        <v>0.28196157587404902</v>
      </c>
      <c r="X167" s="28">
        <f t="shared" si="85"/>
        <v>0.25009491475713236</v>
      </c>
    </row>
    <row r="168" spans="2:24" x14ac:dyDescent="0.35">
      <c r="B168" s="76"/>
      <c r="C168" s="17">
        <v>0.65</v>
      </c>
      <c r="D168" s="27">
        <f t="shared" ref="D168:X168" si="86">1/(1+EXP(-D194))</f>
        <v>0.88497084329490727</v>
      </c>
      <c r="E168" s="23">
        <f t="shared" si="86"/>
        <v>0.86726791016527482</v>
      </c>
      <c r="F168" s="23">
        <f t="shared" si="86"/>
        <v>0.84731057393666132</v>
      </c>
      <c r="G168" s="23">
        <f t="shared" si="86"/>
        <v>0.82495813647030369</v>
      </c>
      <c r="H168" s="23">
        <f t="shared" si="86"/>
        <v>0.80010545935009869</v>
      </c>
      <c r="I168" s="23">
        <f t="shared" si="86"/>
        <v>0.77269641789406684</v>
      </c>
      <c r="J168" s="23">
        <f t="shared" si="86"/>
        <v>0.74273753154454292</v>
      </c>
      <c r="K168" s="23">
        <f t="shared" si="86"/>
        <v>0.71031039370677007</v>
      </c>
      <c r="L168" s="23">
        <f t="shared" si="86"/>
        <v>0.67558121641913038</v>
      </c>
      <c r="M168" s="23">
        <f t="shared" si="86"/>
        <v>0.63880569921401076</v>
      </c>
      <c r="N168" s="23">
        <f t="shared" si="86"/>
        <v>0.60032763288761015</v>
      </c>
      <c r="O168" s="23">
        <f t="shared" si="86"/>
        <v>0.5605702161853473</v>
      </c>
      <c r="P168" s="23">
        <f t="shared" si="86"/>
        <v>0.52001996725991884</v>
      </c>
      <c r="Q168" s="23">
        <f t="shared" si="86"/>
        <v>0.47920421406594882</v>
      </c>
      <c r="R168" s="23">
        <f t="shared" si="86"/>
        <v>0.43866421927019456</v>
      </c>
      <c r="S168" s="23">
        <f t="shared" si="86"/>
        <v>0.39892677534926413</v>
      </c>
      <c r="T168" s="23">
        <f t="shared" si="86"/>
        <v>0.36047738789382727</v>
      </c>
      <c r="U168" s="23">
        <f t="shared" si="86"/>
        <v>0.32373787210334737</v>
      </c>
      <c r="V168" s="23">
        <f t="shared" si="86"/>
        <v>0.28905039958440459</v>
      </c>
      <c r="W168" s="23">
        <f t="shared" si="86"/>
        <v>0.25666895810325996</v>
      </c>
      <c r="X168" s="28">
        <f t="shared" si="86"/>
        <v>0.22675808649164966</v>
      </c>
    </row>
    <row r="169" spans="2:24" x14ac:dyDescent="0.35">
      <c r="B169" s="76"/>
      <c r="C169" s="17">
        <v>0.6</v>
      </c>
      <c r="D169" s="27">
        <f t="shared" ref="D169:X169" si="87">1/(1+EXP(-D195))</f>
        <v>0.87121753145676006</v>
      </c>
      <c r="E169" s="23">
        <f t="shared" si="87"/>
        <v>0.85175254083033758</v>
      </c>
      <c r="F169" s="23">
        <f t="shared" si="87"/>
        <v>0.82991984208358616</v>
      </c>
      <c r="G169" s="23">
        <f t="shared" si="87"/>
        <v>0.80560563227687809</v>
      </c>
      <c r="H169" s="23">
        <f t="shared" si="87"/>
        <v>0.77874220583255105</v>
      </c>
      <c r="I169" s="23">
        <f t="shared" si="87"/>
        <v>0.74932164991502404</v>
      </c>
      <c r="J169" s="23">
        <f t="shared" si="87"/>
        <v>0.71740866259760661</v>
      </c>
      <c r="K169" s="23">
        <f t="shared" si="87"/>
        <v>0.68315086170682027</v>
      </c>
      <c r="L169" s="23">
        <f t="shared" si="87"/>
        <v>0.64678479368072417</v>
      </c>
      <c r="M169" s="23">
        <f t="shared" si="87"/>
        <v>0.60863598057350843</v>
      </c>
      <c r="N169" s="23">
        <f t="shared" si="87"/>
        <v>0.56911183174664803</v>
      </c>
      <c r="O169" s="23">
        <f t="shared" si="87"/>
        <v>0.52868708688753718</v>
      </c>
      <c r="P169" s="23">
        <f t="shared" si="87"/>
        <v>0.48788253384722341</v>
      </c>
      <c r="Q169" s="23">
        <f t="shared" si="87"/>
        <v>0.44723884474558151</v>
      </c>
      <c r="R169" s="23">
        <f t="shared" si="87"/>
        <v>0.40728823629985239</v>
      </c>
      <c r="S169" s="23">
        <f t="shared" si="87"/>
        <v>0.36852706026513182</v>
      </c>
      <c r="T169" s="23">
        <f t="shared" si="87"/>
        <v>0.33139225779119907</v>
      </c>
      <c r="U169" s="23">
        <f t="shared" si="87"/>
        <v>0.29624391485206275</v>
      </c>
      <c r="V169" s="23">
        <f t="shared" si="87"/>
        <v>0.26335512101634245</v>
      </c>
      <c r="W169" s="23">
        <f t="shared" si="87"/>
        <v>0.23290921754832059</v>
      </c>
      <c r="X169" s="28">
        <f t="shared" si="87"/>
        <v>0.20500356439318712</v>
      </c>
    </row>
    <row r="170" spans="2:24" x14ac:dyDescent="0.35">
      <c r="B170" s="76"/>
      <c r="C170" s="17">
        <v>0.55000000000000004</v>
      </c>
      <c r="D170" s="27">
        <f t="shared" ref="D170:X170" si="88">1/(1+EXP(-D196))</f>
        <v>0.85608723234552508</v>
      </c>
      <c r="E170" s="23">
        <f t="shared" si="88"/>
        <v>0.83476907359223007</v>
      </c>
      <c r="F170" s="23">
        <f t="shared" si="88"/>
        <v>0.81099021694208062</v>
      </c>
      <c r="G170" s="23">
        <f t="shared" si="88"/>
        <v>0.78467200044602203</v>
      </c>
      <c r="H170" s="23">
        <f t="shared" si="88"/>
        <v>0.75579266507650422</v>
      </c>
      <c r="I170" s="23">
        <f t="shared" si="88"/>
        <v>0.7244004867201268</v>
      </c>
      <c r="J170" s="23">
        <f t="shared" si="88"/>
        <v>0.69062476710181431</v>
      </c>
      <c r="K170" s="23">
        <f t="shared" si="88"/>
        <v>0.65468290609360968</v>
      </c>
      <c r="L170" s="23">
        <f t="shared" si="88"/>
        <v>0.61688183752555104</v>
      </c>
      <c r="M170" s="23">
        <f t="shared" si="88"/>
        <v>0.57761251989242701</v>
      </c>
      <c r="N170" s="23">
        <f t="shared" si="88"/>
        <v>0.53733694447387548</v>
      </c>
      <c r="O170" s="23">
        <f t="shared" si="88"/>
        <v>0.49656816491798195</v>
      </c>
      <c r="P170" s="23">
        <f t="shared" si="88"/>
        <v>0.45584496873148217</v>
      </c>
      <c r="Q170" s="23">
        <f t="shared" si="88"/>
        <v>0.41570374554471556</v>
      </c>
      <c r="R170" s="23">
        <f t="shared" si="88"/>
        <v>0.37665061942560851</v>
      </c>
      <c r="S170" s="23">
        <f t="shared" si="88"/>
        <v>0.33913686360075401</v>
      </c>
      <c r="T170" s="23">
        <f t="shared" si="88"/>
        <v>0.30354001921246254</v>
      </c>
      <c r="U170" s="23">
        <f t="shared" si="88"/>
        <v>0.27015215638042533</v>
      </c>
      <c r="V170" s="23">
        <f t="shared" si="88"/>
        <v>0.2391755949019492</v>
      </c>
      <c r="W170" s="23">
        <f t="shared" si="88"/>
        <v>0.21072539470950724</v>
      </c>
      <c r="X170" s="28">
        <f t="shared" si="88"/>
        <v>0.18483721254951516</v>
      </c>
    </row>
    <row r="171" spans="2:24" x14ac:dyDescent="0.35">
      <c r="B171" s="76"/>
      <c r="C171" s="17">
        <v>0.5</v>
      </c>
      <c r="D171" s="27">
        <f t="shared" ref="D171:X171" si="89">1/(1+EXP(-D197))</f>
        <v>0.8395067834935267</v>
      </c>
      <c r="E171" s="23">
        <f t="shared" si="89"/>
        <v>0.81625966999832367</v>
      </c>
      <c r="F171" s="23">
        <f t="shared" si="89"/>
        <v>0.79048563063611388</v>
      </c>
      <c r="G171" s="23">
        <f t="shared" si="89"/>
        <v>0.76214966024646125</v>
      </c>
      <c r="H171" s="23">
        <f t="shared" si="89"/>
        <v>0.7312841164858076</v>
      </c>
      <c r="I171" s="23">
        <f t="shared" si="89"/>
        <v>0.69800031141368224</v>
      </c>
      <c r="J171" s="23">
        <f t="shared" si="89"/>
        <v>0.66249656821023173</v>
      </c>
      <c r="K171" s="23">
        <f t="shared" si="89"/>
        <v>0.62506098521375375</v>
      </c>
      <c r="L171" s="23">
        <f t="shared" si="89"/>
        <v>0.58606748029095435</v>
      </c>
      <c r="M171" s="23">
        <f t="shared" si="89"/>
        <v>0.54596438656918933</v>
      </c>
      <c r="N171" s="23">
        <f t="shared" si="89"/>
        <v>0.50525586776662601</v>
      </c>
      <c r="O171" s="23">
        <f t="shared" si="89"/>
        <v>0.46447754226585969</v>
      </c>
      <c r="P171" s="23">
        <f t="shared" si="89"/>
        <v>0.42416870023265152</v>
      </c>
      <c r="Q171" s="23">
        <f t="shared" si="89"/>
        <v>0.38484411645561745</v>
      </c>
      <c r="R171" s="23">
        <f t="shared" si="89"/>
        <v>0.34696853646574594</v>
      </c>
      <c r="S171" s="23">
        <f t="shared" si="89"/>
        <v>0.3109364242095321</v>
      </c>
      <c r="T171" s="23">
        <f t="shared" si="89"/>
        <v>0.27705863931720293</v>
      </c>
      <c r="U171" s="23">
        <f t="shared" si="89"/>
        <v>0.24555659806814423</v>
      </c>
      <c r="V171" s="23">
        <f t="shared" si="89"/>
        <v>0.21656342243021043</v>
      </c>
      <c r="W171" s="23">
        <f t="shared" si="89"/>
        <v>0.19013079556382895</v>
      </c>
      <c r="X171" s="28">
        <f t="shared" si="89"/>
        <v>0.16623981631676568</v>
      </c>
    </row>
    <row r="172" spans="2:24" x14ac:dyDescent="0.35">
      <c r="B172" s="76"/>
      <c r="C172" s="17">
        <v>0.45</v>
      </c>
      <c r="D172" s="27">
        <f t="shared" ref="D172:X172" si="90">1/(1+EXP(-D198))</f>
        <v>0.82141456481638364</v>
      </c>
      <c r="E172" s="23">
        <f t="shared" si="90"/>
        <v>0.79618306944142569</v>
      </c>
      <c r="F172" s="23">
        <f t="shared" si="90"/>
        <v>0.76839188588644425</v>
      </c>
      <c r="G172" s="23">
        <f t="shared" si="90"/>
        <v>0.73805798461656746</v>
      </c>
      <c r="H172" s="23">
        <f t="shared" si="90"/>
        <v>0.70527505915128164</v>
      </c>
      <c r="I172" s="23">
        <f t="shared" si="90"/>
        <v>0.67022248639428039</v>
      </c>
      <c r="J172" s="23">
        <f t="shared" si="90"/>
        <v>0.63316935294372001</v>
      </c>
      <c r="K172" s="23">
        <f t="shared" si="90"/>
        <v>0.59447201900237678</v>
      </c>
      <c r="L172" s="23">
        <f t="shared" si="90"/>
        <v>0.55456431337803203</v>
      </c>
      <c r="M172" s="23">
        <f t="shared" si="90"/>
        <v>0.51394039788106016</v>
      </c>
      <c r="N172" s="23">
        <f t="shared" si="90"/>
        <v>0.47313145328899381</v>
      </c>
      <c r="O172" s="23">
        <f t="shared" si="90"/>
        <v>0.43267838324510061</v>
      </c>
      <c r="P172" s="23">
        <f t="shared" si="90"/>
        <v>0.39310344901741745</v>
      </c>
      <c r="Q172" s="23">
        <f t="shared" si="90"/>
        <v>0.35488394576079851</v>
      </c>
      <c r="R172" s="23">
        <f t="shared" si="90"/>
        <v>0.31843065530530507</v>
      </c>
      <c r="S172" s="23">
        <f t="shared" si="90"/>
        <v>0.28407296444669783</v>
      </c>
      <c r="T172" s="23">
        <f t="shared" si="90"/>
        <v>0.25205144274388475</v>
      </c>
      <c r="U172" s="23">
        <f t="shared" si="90"/>
        <v>0.22251759078795247</v>
      </c>
      <c r="V172" s="23">
        <f t="shared" si="90"/>
        <v>0.19553961595139854</v>
      </c>
      <c r="W172" s="23">
        <f t="shared" si="90"/>
        <v>0.17111258760276676</v>
      </c>
      <c r="X172" s="28">
        <f t="shared" si="90"/>
        <v>0.14917118000537621</v>
      </c>
    </row>
    <row r="173" spans="2:24" x14ac:dyDescent="0.35">
      <c r="B173" s="76"/>
      <c r="C173" s="17">
        <v>0.4</v>
      </c>
      <c r="D173" s="27">
        <f t="shared" ref="D173:X173" si="91">1/(1+EXP(-D199))</f>
        <v>0.80176442844507856</v>
      </c>
      <c r="E173" s="23">
        <f t="shared" si="91"/>
        <v>0.77451875533035164</v>
      </c>
      <c r="F173" s="23">
        <f t="shared" si="91"/>
        <v>0.74472070380157107</v>
      </c>
      <c r="G173" s="23">
        <f t="shared" si="91"/>
        <v>0.71244676093898085</v>
      </c>
      <c r="H173" s="23">
        <f t="shared" si="91"/>
        <v>0.67785754527820197</v>
      </c>
      <c r="I173" s="23">
        <f t="shared" si="91"/>
        <v>0.64120302485089253</v>
      </c>
      <c r="J173" s="23">
        <f t="shared" si="91"/>
        <v>0.60282155839011853</v>
      </c>
      <c r="K173" s="23">
        <f t="shared" si="91"/>
        <v>0.56313169068013325</v>
      </c>
      <c r="L173" s="23">
        <f t="shared" si="91"/>
        <v>0.52261651840625512</v>
      </c>
      <c r="M173" s="23">
        <f t="shared" si="91"/>
        <v>0.48180153862638492</v>
      </c>
      <c r="N173" s="23">
        <f t="shared" si="91"/>
        <v>0.44122797322002788</v>
      </c>
      <c r="O173" s="23">
        <f t="shared" si="91"/>
        <v>0.40142436849243185</v>
      </c>
      <c r="P173" s="23">
        <f t="shared" si="91"/>
        <v>0.36287958711454127</v>
      </c>
      <c r="Q173" s="23">
        <f t="shared" si="91"/>
        <v>0.32602005243322557</v>
      </c>
      <c r="R173" s="23">
        <f t="shared" si="91"/>
        <v>0.29119334365291272</v>
      </c>
      <c r="S173" s="23">
        <f t="shared" si="91"/>
        <v>0.2586591765091838</v>
      </c>
      <c r="T173" s="23">
        <f t="shared" si="91"/>
        <v>0.22858769772759943</v>
      </c>
      <c r="U173" s="23">
        <f t="shared" si="91"/>
        <v>0.20106410509122377</v>
      </c>
      <c r="V173" s="23">
        <f t="shared" si="91"/>
        <v>0.17609802121362397</v>
      </c>
      <c r="W173" s="23">
        <f t="shared" si="91"/>
        <v>0.1536358321398357</v>
      </c>
      <c r="X173" s="28">
        <f t="shared" si="91"/>
        <v>0.13357429625721381</v>
      </c>
    </row>
    <row r="174" spans="2:24" x14ac:dyDescent="0.35">
      <c r="B174" s="76"/>
      <c r="C174" s="17">
        <v>0.35</v>
      </c>
      <c r="D174" s="27">
        <f t="shared" ref="D174:X174" si="92">1/(1+EXP(-D200))</f>
        <v>0.78052984008562776</v>
      </c>
      <c r="E174" s="23">
        <f t="shared" si="92"/>
        <v>0.75127106385625775</v>
      </c>
      <c r="F174" s="23">
        <f t="shared" si="92"/>
        <v>0.71951335329420807</v>
      </c>
      <c r="G174" s="23">
        <f t="shared" si="92"/>
        <v>0.68539881071241227</v>
      </c>
      <c r="H174" s="23">
        <f t="shared" si="92"/>
        <v>0.64915824620312579</v>
      </c>
      <c r="I174" s="23">
        <f t="shared" si="92"/>
        <v>0.61111164647213778</v>
      </c>
      <c r="J174" s="23">
        <f t="shared" si="92"/>
        <v>0.57166156142091806</v>
      </c>
      <c r="K174" s="23">
        <f t="shared" si="92"/>
        <v>0.5312790127625705</v>
      </c>
      <c r="L174" s="23">
        <f t="shared" si="92"/>
        <v>0.49048259623098173</v>
      </c>
      <c r="M174" s="23">
        <f t="shared" si="92"/>
        <v>0.44981255508512125</v>
      </c>
      <c r="N174" s="23">
        <f t="shared" si="92"/>
        <v>0.40980248778683936</v>
      </c>
      <c r="O174" s="23">
        <f t="shared" si="92"/>
        <v>0.37095178694068071</v>
      </c>
      <c r="P174" s="23">
        <f t="shared" si="92"/>
        <v>0.33370177121710165</v>
      </c>
      <c r="Q174" s="23">
        <f t="shared" si="92"/>
        <v>0.29841780438783094</v>
      </c>
      <c r="R174" s="23">
        <f t="shared" si="92"/>
        <v>0.26537867490067019</v>
      </c>
      <c r="S174" s="23">
        <f t="shared" si="92"/>
        <v>0.23477339055218249</v>
      </c>
      <c r="T174" s="23">
        <f t="shared" si="92"/>
        <v>0.20670457036758247</v>
      </c>
      <c r="U174" s="23">
        <f t="shared" si="92"/>
        <v>0.18119695482668335</v>
      </c>
      <c r="V174" s="23">
        <f t="shared" si="92"/>
        <v>0.15820926272913169</v>
      </c>
      <c r="W174" s="23">
        <f t="shared" si="92"/>
        <v>0.13764765888036615</v>
      </c>
      <c r="X174" s="28">
        <f t="shared" si="92"/>
        <v>0.11937936363667767</v>
      </c>
    </row>
    <row r="175" spans="2:24" x14ac:dyDescent="0.35">
      <c r="B175" s="76"/>
      <c r="C175" s="17">
        <v>0.3</v>
      </c>
      <c r="D175" s="27">
        <f t="shared" ref="D175:X175" si="93">1/(1+EXP(-D201))</f>
        <v>0.75770802841862728</v>
      </c>
      <c r="E175" s="23">
        <f t="shared" si="93"/>
        <v>0.72647295779197374</v>
      </c>
      <c r="F175" s="23">
        <f t="shared" si="93"/>
        <v>0.69284353200974902</v>
      </c>
      <c r="G175" s="23">
        <f t="shared" si="93"/>
        <v>0.65703142899786882</v>
      </c>
      <c r="H175" s="23">
        <f t="shared" si="93"/>
        <v>0.61933796567502897</v>
      </c>
      <c r="I175" s="23">
        <f t="shared" si="93"/>
        <v>0.580149056916058</v>
      </c>
      <c r="J175" s="23">
        <f t="shared" si="93"/>
        <v>0.53992269716031527</v>
      </c>
      <c r="K175" s="23">
        <f t="shared" si="93"/>
        <v>0.49916939762349277</v>
      </c>
      <c r="L175" s="23">
        <f t="shared" si="93"/>
        <v>0.45842713105362448</v>
      </c>
      <c r="M175" s="23">
        <f t="shared" si="93"/>
        <v>0.4182332897806027</v>
      </c>
      <c r="N175" s="23">
        <f t="shared" si="93"/>
        <v>0.37909670768561687</v>
      </c>
      <c r="O175" s="23">
        <f t="shared" si="93"/>
        <v>0.34147278487423438</v>
      </c>
      <c r="P175" s="23">
        <f t="shared" si="93"/>
        <v>0.30574418854537783</v>
      </c>
      <c r="Q175" s="23">
        <f t="shared" si="93"/>
        <v>0.27220863789396454</v>
      </c>
      <c r="R175" s="23">
        <f t="shared" si="93"/>
        <v>0.24107416080490729</v>
      </c>
      <c r="S175" s="23">
        <f t="shared" si="93"/>
        <v>0.21246118924188956</v>
      </c>
      <c r="T175" s="23">
        <f t="shared" si="93"/>
        <v>0.18641012453059802</v>
      </c>
      <c r="U175" s="23">
        <f t="shared" si="93"/>
        <v>0.16289263309008509</v>
      </c>
      <c r="V175" s="23">
        <f t="shared" si="93"/>
        <v>0.14182490599861708</v>
      </c>
      <c r="W175" s="23">
        <f t="shared" si="93"/>
        <v>0.12308134307355999</v>
      </c>
      <c r="X175" s="28">
        <f t="shared" si="93"/>
        <v>0.10650749029190122</v>
      </c>
    </row>
    <row r="176" spans="2:24" x14ac:dyDescent="0.35">
      <c r="B176" s="76"/>
      <c r="C176" s="17">
        <v>0.25</v>
      </c>
      <c r="D176" s="27">
        <f t="shared" ref="D176:X176" si="94">1/(1+EXP(-D202))</f>
        <v>0.73332387964467927</v>
      </c>
      <c r="E176" s="23">
        <f t="shared" si="94"/>
        <v>0.70018914349800643</v>
      </c>
      <c r="F176" s="23">
        <f t="shared" si="94"/>
        <v>0.66481915684526216</v>
      </c>
      <c r="G176" s="23">
        <f t="shared" si="94"/>
        <v>0.62749634095871776</v>
      </c>
      <c r="H176" s="23">
        <f t="shared" si="94"/>
        <v>0.58858940761772793</v>
      </c>
      <c r="I176" s="23">
        <f t="shared" si="94"/>
        <v>0.54854243294693039</v>
      </c>
      <c r="J176" s="23">
        <f t="shared" si="94"/>
        <v>0.50785670046782005</v>
      </c>
      <c r="K176" s="23">
        <f t="shared" si="94"/>
        <v>0.46706663203224558</v>
      </c>
      <c r="L176" s="23">
        <f t="shared" si="94"/>
        <v>0.42671213639008221</v>
      </c>
      <c r="M176" s="23">
        <f t="shared" si="94"/>
        <v>0.38731035378633538</v>
      </c>
      <c r="N176" s="23">
        <f t="shared" si="94"/>
        <v>0.3493298868175132</v>
      </c>
      <c r="O176" s="23">
        <f t="shared" si="94"/>
        <v>0.31317015193482656</v>
      </c>
      <c r="P176" s="23">
        <f t="shared" si="94"/>
        <v>0.27914758683122992</v>
      </c>
      <c r="Q176" s="23">
        <f t="shared" si="94"/>
        <v>0.24748933942338883</v>
      </c>
      <c r="R176" s="23">
        <f t="shared" si="94"/>
        <v>0.21833400343509615</v>
      </c>
      <c r="S176" s="23">
        <f t="shared" si="94"/>
        <v>0.19173815874443054</v>
      </c>
      <c r="T176" s="23">
        <f t="shared" si="94"/>
        <v>0.16768702510057659</v>
      </c>
      <c r="U176" s="23">
        <f t="shared" si="94"/>
        <v>0.14610744340190321</v>
      </c>
      <c r="V176" s="23">
        <f t="shared" si="94"/>
        <v>0.12688158118582005</v>
      </c>
      <c r="W176" s="23">
        <f t="shared" si="94"/>
        <v>0.10986010656769707</v>
      </c>
      <c r="X176" s="28">
        <f t="shared" si="94"/>
        <v>9.4873979866394953E-2</v>
      </c>
    </row>
    <row r="177" spans="2:24" x14ac:dyDescent="0.35">
      <c r="B177" s="76"/>
      <c r="C177" s="17">
        <v>0.2</v>
      </c>
      <c r="D177" s="27">
        <f t="shared" ref="D177:X177" si="95">1/(1+EXP(-D203))</f>
        <v>0.70743326539728235</v>
      </c>
      <c r="E177" s="23">
        <f t="shared" si="95"/>
        <v>0.67251818913337635</v>
      </c>
      <c r="F177" s="23">
        <f t="shared" si="95"/>
        <v>0.63558274728441433</v>
      </c>
      <c r="G177" s="23">
        <f t="shared" si="95"/>
        <v>0.59697795339394699</v>
      </c>
      <c r="H177" s="23">
        <f t="shared" si="95"/>
        <v>0.55713313872464487</v>
      </c>
      <c r="I177" s="23">
        <f t="shared" si="95"/>
        <v>0.51653926121746818</v>
      </c>
      <c r="J177" s="23">
        <f t="shared" si="95"/>
        <v>0.47572592938709335</v>
      </c>
      <c r="K177" s="23">
        <f t="shared" si="95"/>
        <v>0.43523427820953431</v>
      </c>
      <c r="L177" s="23">
        <f t="shared" si="95"/>
        <v>0.39558857832733912</v>
      </c>
      <c r="M177" s="23">
        <f t="shared" si="95"/>
        <v>0.35726969396721892</v>
      </c>
      <c r="N177" s="23">
        <f t="shared" si="95"/>
        <v>0.32069316438065076</v>
      </c>
      <c r="O177" s="23">
        <f t="shared" si="95"/>
        <v>0.28619386182945494</v>
      </c>
      <c r="P177" s="23">
        <f t="shared" si="95"/>
        <v>0.25401809220283039</v>
      </c>
      <c r="Q177" s="23">
        <f t="shared" si="95"/>
        <v>0.22432291325294546</v>
      </c>
      <c r="R177" s="23">
        <f t="shared" si="95"/>
        <v>0.19718157214093537</v>
      </c>
      <c r="S177" s="23">
        <f t="shared" si="95"/>
        <v>0.17259343530464089</v>
      </c>
      <c r="T177" s="23">
        <f t="shared" si="95"/>
        <v>0.15049661829302372</v>
      </c>
      <c r="U177" s="23">
        <f t="shared" si="95"/>
        <v>0.13078165563982661</v>
      </c>
      <c r="V177" s="23">
        <f t="shared" si="95"/>
        <v>0.11330487291885695</v>
      </c>
      <c r="W177" s="23">
        <f t="shared" si="95"/>
        <v>9.790052379863462E-2</v>
      </c>
      <c r="X177" s="28">
        <f t="shared" si="95"/>
        <v>8.4391146440753184E-2</v>
      </c>
    </row>
    <row r="178" spans="2:24" x14ac:dyDescent="0.35">
      <c r="B178" s="76"/>
      <c r="C178" s="17">
        <v>0.15</v>
      </c>
      <c r="D178" s="27">
        <f t="shared" ref="D178:X178" si="96">1/(1+EXP(-D204))</f>
        <v>0.68012546447658651</v>
      </c>
      <c r="E178" s="23">
        <f t="shared" si="96"/>
        <v>0.64359331640350637</v>
      </c>
      <c r="F178" s="23">
        <f t="shared" si="96"/>
        <v>0.60531015327642002</v>
      </c>
      <c r="G178" s="23">
        <f t="shared" si="96"/>
        <v>0.56568980217845144</v>
      </c>
      <c r="H178" s="23">
        <f t="shared" si="96"/>
        <v>0.52521184776815721</v>
      </c>
      <c r="I178" s="23">
        <f t="shared" si="96"/>
        <v>0.48439984701052491</v>
      </c>
      <c r="J178" s="23">
        <f t="shared" si="96"/>
        <v>0.44379486469214086</v>
      </c>
      <c r="K178" s="23">
        <f t="shared" si="96"/>
        <v>0.40392709038032903</v>
      </c>
      <c r="L178" s="23">
        <f t="shared" si="96"/>
        <v>0.36528865077897116</v>
      </c>
      <c r="M178" s="23">
        <f t="shared" si="96"/>
        <v>0.32831051047297993</v>
      </c>
      <c r="N178" s="23">
        <f t="shared" si="96"/>
        <v>0.29334561970386741</v>
      </c>
      <c r="O178" s="23">
        <f t="shared" si="96"/>
        <v>0.26065941560515826</v>
      </c>
      <c r="P178" s="23">
        <f t="shared" si="96"/>
        <v>0.23042767208768344</v>
      </c>
      <c r="Q178" s="23">
        <f t="shared" si="96"/>
        <v>0.20274075960054691</v>
      </c>
      <c r="R178" s="23">
        <f t="shared" si="96"/>
        <v>0.1776127689390192</v>
      </c>
      <c r="S178" s="23">
        <f t="shared" si="96"/>
        <v>0.15499371382714522</v>
      </c>
      <c r="T178" s="23">
        <f t="shared" si="96"/>
        <v>0.13478310435569399</v>
      </c>
      <c r="U178" s="23">
        <f t="shared" si="96"/>
        <v>0.11684347478852894</v>
      </c>
      <c r="V178" s="23">
        <f t="shared" si="96"/>
        <v>0.10101284159496382</v>
      </c>
      <c r="W178" s="23">
        <f t="shared" si="96"/>
        <v>8.7115466751946299E-2</v>
      </c>
      <c r="X178" s="28">
        <f t="shared" si="96"/>
        <v>7.4970645799483565E-2</v>
      </c>
    </row>
    <row r="179" spans="2:24" x14ac:dyDescent="0.35">
      <c r="B179" s="76"/>
      <c r="C179" s="17">
        <v>0.1</v>
      </c>
      <c r="D179" s="27">
        <f t="shared" ref="D179:X179" si="97">1/(1+EXP(-D205))</f>
        <v>0.65152434295013684</v>
      </c>
      <c r="E179" s="23">
        <f t="shared" si="97"/>
        <v>0.61358159463666917</v>
      </c>
      <c r="F179" s="23">
        <f t="shared" si="97"/>
        <v>0.57420749155675244</v>
      </c>
      <c r="G179" s="23">
        <f t="shared" si="97"/>
        <v>0.53386925205181435</v>
      </c>
      <c r="H179" s="23">
        <f t="shared" si="97"/>
        <v>0.49308317362919335</v>
      </c>
      <c r="I179" s="23">
        <f t="shared" si="97"/>
        <v>0.45238895482680591</v>
      </c>
      <c r="J179" s="23">
        <f t="shared" si="97"/>
        <v>0.41232146300528644</v>
      </c>
      <c r="K179" s="23">
        <f t="shared" si="97"/>
        <v>0.37338303398970846</v>
      </c>
      <c r="L179" s="23">
        <f t="shared" si="97"/>
        <v>0.33601929098962352</v>
      </c>
      <c r="M179" s="23">
        <f t="shared" si="97"/>
        <v>0.30060083243936264</v>
      </c>
      <c r="N179" s="23">
        <f t="shared" si="97"/>
        <v>0.2674121329511519</v>
      </c>
      <c r="O179" s="23">
        <f t="shared" si="97"/>
        <v>0.23664788113093926</v>
      </c>
      <c r="P179" s="23">
        <f t="shared" si="97"/>
        <v>0.20841599022428664</v>
      </c>
      <c r="Q179" s="23">
        <f t="shared" si="97"/>
        <v>0.18274583390109028</v>
      </c>
      <c r="R179" s="23">
        <f t="shared" si="97"/>
        <v>0.15959994351450843</v>
      </c>
      <c r="S179" s="23">
        <f t="shared" si="97"/>
        <v>0.1388874206427915</v>
      </c>
      <c r="T179" s="23">
        <f t="shared" si="97"/>
        <v>0.12047757428788287</v>
      </c>
      <c r="U179" s="23">
        <f t="shared" si="97"/>
        <v>0.10421267181432879</v>
      </c>
      <c r="V179" s="23">
        <f t="shared" si="97"/>
        <v>8.9919096773401153E-2</v>
      </c>
      <c r="W179" s="23">
        <f t="shared" si="97"/>
        <v>7.7416566295999426E-2</v>
      </c>
      <c r="X179" s="28">
        <f t="shared" si="97"/>
        <v>6.6525340245915651E-2</v>
      </c>
    </row>
    <row r="180" spans="2:24" x14ac:dyDescent="0.35">
      <c r="B180" s="76"/>
      <c r="C180" s="17">
        <v>0.05</v>
      </c>
      <c r="D180" s="27">
        <f t="shared" ref="D180:X180" si="98">1/(1+EXP(-D206))</f>
        <v>0.62178800175484306</v>
      </c>
      <c r="E180" s="23">
        <f t="shared" si="98"/>
        <v>0.5826813667500077</v>
      </c>
      <c r="F180" s="23">
        <f t="shared" si="98"/>
        <v>0.5425063025076351</v>
      </c>
      <c r="G180" s="23">
        <f t="shared" si="98"/>
        <v>0.50177067529148522</v>
      </c>
      <c r="H180" s="23">
        <f t="shared" si="98"/>
        <v>0.46101152826283781</v>
      </c>
      <c r="I180" s="23">
        <f t="shared" si="98"/>
        <v>0.42076714188657216</v>
      </c>
      <c r="J180" s="23">
        <f t="shared" si="98"/>
        <v>0.38154895807885153</v>
      </c>
      <c r="K180" s="23">
        <f t="shared" si="98"/>
        <v>0.34381642500710807</v>
      </c>
      <c r="L180" s="23">
        <f t="shared" si="98"/>
        <v>0.30795728624095953</v>
      </c>
      <c r="M180" s="23">
        <f t="shared" si="98"/>
        <v>0.27427489103232594</v>
      </c>
      <c r="N180" s="23">
        <f t="shared" si="98"/>
        <v>0.2429829843334203</v>
      </c>
      <c r="O180" s="23">
        <f t="shared" si="98"/>
        <v>0.2142074014354117</v>
      </c>
      <c r="P180" s="23">
        <f t="shared" si="98"/>
        <v>0.18799333467990928</v>
      </c>
      <c r="Q180" s="23">
        <f t="shared" si="98"/>
        <v>0.16431644549973423</v>
      </c>
      <c r="R180" s="23">
        <f t="shared" si="98"/>
        <v>0.14309604816282478</v>
      </c>
      <c r="S180" s="23">
        <f t="shared" si="98"/>
        <v>0.12420880601328109</v>
      </c>
      <c r="T180" s="23">
        <f t="shared" si="98"/>
        <v>0.10750174350277339</v>
      </c>
      <c r="U180" s="23">
        <f t="shared" si="98"/>
        <v>9.2803783118930103E-2</v>
      </c>
      <c r="V180" s="23">
        <f t="shared" si="98"/>
        <v>7.9935389373934893E-2</v>
      </c>
      <c r="W180" s="23">
        <f t="shared" si="98"/>
        <v>6.8716200039350098E-2</v>
      </c>
      <c r="X180" s="28">
        <f t="shared" si="98"/>
        <v>5.8970734290446317E-2</v>
      </c>
    </row>
    <row r="181" spans="2:24" ht="15" thickBot="1" x14ac:dyDescent="0.4">
      <c r="B181" s="77"/>
      <c r="C181" s="18">
        <v>0</v>
      </c>
      <c r="D181" s="29">
        <f t="shared" ref="D181:X181" si="99">1/(1+EXP(-D207))</f>
        <v>0.59110668991612492</v>
      </c>
      <c r="E181" s="30">
        <f t="shared" si="99"/>
        <v>0.55111787636698106</v>
      </c>
      <c r="F181" s="30">
        <f t="shared" si="99"/>
        <v>0.51045710797097188</v>
      </c>
      <c r="G181" s="30">
        <f t="shared" si="99"/>
        <v>0.46965749683087316</v>
      </c>
      <c r="H181" s="30">
        <f t="shared" si="99"/>
        <v>0.42925945457271986</v>
      </c>
      <c r="I181" s="30">
        <f t="shared" si="99"/>
        <v>0.38978238143690419</v>
      </c>
      <c r="J181" s="30">
        <f t="shared" si="99"/>
        <v>0.35169865271433148</v>
      </c>
      <c r="K181" s="30">
        <f t="shared" si="99"/>
        <v>0.31541258119206328</v>
      </c>
      <c r="L181" s="30">
        <f t="shared" si="99"/>
        <v>0.28124615717873486</v>
      </c>
      <c r="M181" s="30">
        <f t="shared" si="99"/>
        <v>0.2494322636477789</v>
      </c>
      <c r="N181" s="30">
        <f t="shared" si="99"/>
        <v>0.22011499320113692</v>
      </c>
      <c r="O181" s="30">
        <f t="shared" si="99"/>
        <v>0.19335586627388154</v>
      </c>
      <c r="P181" s="30">
        <f t="shared" si="99"/>
        <v>0.16914427673284124</v>
      </c>
      <c r="Q181" s="30">
        <f t="shared" si="99"/>
        <v>0.1474103757280649</v>
      </c>
      <c r="R181" s="30">
        <f t="shared" si="99"/>
        <v>0.12803877267456354</v>
      </c>
      <c r="S181" s="30">
        <f t="shared" si="99"/>
        <v>0.11088177271669186</v>
      </c>
      <c r="T181" s="30">
        <f t="shared" si="99"/>
        <v>9.5771274134466039E-2</v>
      </c>
      <c r="U181" s="30">
        <f t="shared" si="99"/>
        <v>8.2528833833330734E-2</v>
      </c>
      <c r="V181" s="30">
        <f t="shared" si="99"/>
        <v>7.097372502068075E-2</v>
      </c>
      <c r="W181" s="30">
        <f t="shared" si="99"/>
        <v>6.0929039498335051E-2</v>
      </c>
      <c r="X181" s="31">
        <f t="shared" si="99"/>
        <v>5.2226030295890125E-2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78" t="s">
        <v>51</v>
      </c>
      <c r="E183" s="79"/>
      <c r="F183" s="79"/>
      <c r="G183" s="79"/>
      <c r="H183" s="79"/>
      <c r="I183" s="79"/>
      <c r="J183" s="79"/>
      <c r="K183" s="79"/>
      <c r="L183" s="79"/>
      <c r="M183" s="79"/>
      <c r="N183" s="79"/>
      <c r="O183" s="79"/>
      <c r="P183" s="79"/>
      <c r="Q183" s="79"/>
      <c r="R183" s="79"/>
      <c r="S183" s="79"/>
      <c r="T183" s="79"/>
      <c r="U183" s="79"/>
      <c r="V183" s="79"/>
      <c r="W183" s="79"/>
      <c r="X183" s="80"/>
    </row>
    <row r="185" spans="2:24" ht="15" thickBot="1" x14ac:dyDescent="0.4"/>
    <row r="186" spans="2:24" ht="21.5" thickBot="1" x14ac:dyDescent="0.55000000000000004">
      <c r="B186" s="81" t="s">
        <v>11</v>
      </c>
      <c r="C186" s="82"/>
      <c r="D186" s="82"/>
      <c r="E186" s="82"/>
      <c r="F186" s="82"/>
      <c r="G186" s="82"/>
      <c r="H186" s="82"/>
      <c r="I186" s="82"/>
      <c r="J186" s="82"/>
      <c r="K186" s="82"/>
      <c r="L186" s="82"/>
      <c r="M186" s="82"/>
      <c r="N186" s="82"/>
      <c r="O186" s="82"/>
      <c r="P186" s="82"/>
      <c r="Q186" s="82"/>
      <c r="R186" s="82"/>
      <c r="S186" s="82"/>
      <c r="T186" s="82"/>
      <c r="U186" s="82"/>
      <c r="V186" s="82"/>
      <c r="W186" s="82"/>
      <c r="X186" s="83"/>
    </row>
    <row r="187" spans="2:24" x14ac:dyDescent="0.35">
      <c r="B187" s="75" t="s">
        <v>2</v>
      </c>
      <c r="C187" s="20">
        <v>1</v>
      </c>
      <c r="D187" s="22">
        <f>(D$208 * $P$5) + ($C187 * $P$6) + $P$8</f>
        <v>2.9405835008921857</v>
      </c>
      <c r="E187" s="22">
        <f>(E$208 * $P$5) + ($C187 * $P$6) + $P$8</f>
        <v>2.7772296374417751</v>
      </c>
      <c r="F187" s="22">
        <f t="shared" ref="F187:X200" si="100">(F$208 * $P$5) + ($C187 * $P$6) + $P$8</f>
        <v>2.6138757739913645</v>
      </c>
      <c r="G187" s="22">
        <f t="shared" si="100"/>
        <v>2.4505219105409548</v>
      </c>
      <c r="H187" s="22">
        <f t="shared" si="100"/>
        <v>2.2871680470905442</v>
      </c>
      <c r="I187" s="22">
        <f t="shared" si="100"/>
        <v>2.1238141836401341</v>
      </c>
      <c r="J187" s="22">
        <f t="shared" si="100"/>
        <v>1.9604603201897237</v>
      </c>
      <c r="K187" s="22">
        <f t="shared" si="100"/>
        <v>1.7971064567393136</v>
      </c>
      <c r="L187" s="22">
        <f t="shared" si="100"/>
        <v>1.6337525932889032</v>
      </c>
      <c r="M187" s="22">
        <f t="shared" si="100"/>
        <v>1.4703987298384928</v>
      </c>
      <c r="N187" s="22">
        <f t="shared" si="100"/>
        <v>1.3070448663880827</v>
      </c>
      <c r="O187" s="22">
        <f t="shared" si="100"/>
        <v>1.1436910029376723</v>
      </c>
      <c r="P187" s="22">
        <f t="shared" si="100"/>
        <v>0.9803371394872622</v>
      </c>
      <c r="Q187" s="22">
        <f t="shared" si="100"/>
        <v>0.81698327603685184</v>
      </c>
      <c r="R187" s="22">
        <f t="shared" si="100"/>
        <v>0.65362941258644169</v>
      </c>
      <c r="S187" s="22">
        <f t="shared" si="100"/>
        <v>0.49027554913603111</v>
      </c>
      <c r="T187" s="22">
        <f t="shared" si="100"/>
        <v>0.32692168568562097</v>
      </c>
      <c r="U187" s="22">
        <f t="shared" si="100"/>
        <v>0.16356782223521082</v>
      </c>
      <c r="V187" s="22">
        <f t="shared" si="100"/>
        <v>2.1395878480023889E-4</v>
      </c>
      <c r="W187" s="22">
        <f t="shared" si="100"/>
        <v>-0.16313990466560946</v>
      </c>
      <c r="X187" s="69">
        <f t="shared" si="100"/>
        <v>-0.32649376811602004</v>
      </c>
    </row>
    <row r="188" spans="2:24" x14ac:dyDescent="0.35">
      <c r="B188" s="76"/>
      <c r="C188" s="17">
        <v>0.95</v>
      </c>
      <c r="D188" s="22">
        <f t="shared" ref="D188:T207" si="101">(D$208 * $P$5) + ($C188 * $P$6) + $P$8</f>
        <v>2.8119814387992195</v>
      </c>
      <c r="E188" s="22">
        <f t="shared" si="101"/>
        <v>2.6486275753488089</v>
      </c>
      <c r="F188" s="22">
        <f t="shared" si="100"/>
        <v>2.4852737118983983</v>
      </c>
      <c r="G188" s="22">
        <f t="shared" si="100"/>
        <v>2.3219198484479886</v>
      </c>
      <c r="H188" s="22">
        <f t="shared" si="100"/>
        <v>2.158565984997578</v>
      </c>
      <c r="I188" s="22">
        <f t="shared" si="100"/>
        <v>1.9952121215471679</v>
      </c>
      <c r="J188" s="22">
        <f t="shared" si="100"/>
        <v>1.8318582580967575</v>
      </c>
      <c r="K188" s="22">
        <f t="shared" si="100"/>
        <v>1.6685043946463474</v>
      </c>
      <c r="L188" s="22">
        <f t="shared" si="100"/>
        <v>1.505150531195937</v>
      </c>
      <c r="M188" s="22">
        <f t="shared" si="100"/>
        <v>1.3417966677455266</v>
      </c>
      <c r="N188" s="22">
        <f t="shared" si="100"/>
        <v>1.1784428042951165</v>
      </c>
      <c r="O188" s="22">
        <f t="shared" si="100"/>
        <v>1.0150889408447061</v>
      </c>
      <c r="P188" s="22">
        <f t="shared" si="100"/>
        <v>0.85173507739429599</v>
      </c>
      <c r="Q188" s="22">
        <f t="shared" si="100"/>
        <v>0.68838121394388563</v>
      </c>
      <c r="R188" s="22">
        <f t="shared" si="100"/>
        <v>0.52502735049347549</v>
      </c>
      <c r="S188" s="22">
        <f t="shared" si="100"/>
        <v>0.3616734870430649</v>
      </c>
      <c r="T188" s="22">
        <f t="shared" si="100"/>
        <v>0.19831962359265476</v>
      </c>
      <c r="U188" s="22">
        <f t="shared" si="100"/>
        <v>3.4965760142244617E-2</v>
      </c>
      <c r="V188" s="22">
        <f t="shared" si="100"/>
        <v>-0.12838810330816597</v>
      </c>
      <c r="W188" s="22">
        <f t="shared" si="100"/>
        <v>-0.29174196675857567</v>
      </c>
      <c r="X188" s="70">
        <f t="shared" si="100"/>
        <v>-0.45509583020898625</v>
      </c>
    </row>
    <row r="189" spans="2:24" x14ac:dyDescent="0.35">
      <c r="B189" s="76"/>
      <c r="C189" s="17">
        <v>0.9</v>
      </c>
      <c r="D189" s="22">
        <f t="shared" si="101"/>
        <v>2.6833793767062541</v>
      </c>
      <c r="E189" s="22">
        <f t="shared" si="101"/>
        <v>2.5200255132558436</v>
      </c>
      <c r="F189" s="22">
        <f t="shared" si="100"/>
        <v>2.3566716498054334</v>
      </c>
      <c r="G189" s="22">
        <f t="shared" si="100"/>
        <v>2.1933177863550233</v>
      </c>
      <c r="H189" s="22">
        <f t="shared" si="100"/>
        <v>2.0299639229046127</v>
      </c>
      <c r="I189" s="22">
        <f t="shared" si="100"/>
        <v>1.8666100594542026</v>
      </c>
      <c r="J189" s="22">
        <f t="shared" si="100"/>
        <v>1.7032561960037922</v>
      </c>
      <c r="K189" s="22">
        <f t="shared" si="100"/>
        <v>1.539902332553382</v>
      </c>
      <c r="L189" s="22">
        <f t="shared" si="100"/>
        <v>1.3765484691029717</v>
      </c>
      <c r="M189" s="22">
        <f t="shared" si="100"/>
        <v>1.2131946056525613</v>
      </c>
      <c r="N189" s="22">
        <f t="shared" si="100"/>
        <v>1.0498407422021512</v>
      </c>
      <c r="O189" s="22">
        <f t="shared" si="100"/>
        <v>0.88648687875174081</v>
      </c>
      <c r="P189" s="22">
        <f t="shared" si="100"/>
        <v>0.72313301530133067</v>
      </c>
      <c r="Q189" s="22">
        <f t="shared" si="100"/>
        <v>0.55977915185092031</v>
      </c>
      <c r="R189" s="22">
        <f t="shared" si="100"/>
        <v>0.39642528840051017</v>
      </c>
      <c r="S189" s="22">
        <f t="shared" si="100"/>
        <v>0.23307142495009958</v>
      </c>
      <c r="T189" s="22">
        <f t="shared" si="100"/>
        <v>6.971756149968944E-2</v>
      </c>
      <c r="U189" s="22">
        <f t="shared" si="100"/>
        <v>-9.3636301950720702E-2</v>
      </c>
      <c r="V189" s="22">
        <f t="shared" si="100"/>
        <v>-0.25699016540113129</v>
      </c>
      <c r="W189" s="22">
        <f t="shared" si="100"/>
        <v>-0.42034402885154099</v>
      </c>
      <c r="X189" s="70">
        <f t="shared" si="100"/>
        <v>-0.58369789230195157</v>
      </c>
    </row>
    <row r="190" spans="2:24" x14ac:dyDescent="0.35">
      <c r="B190" s="76"/>
      <c r="C190" s="17">
        <v>0.85</v>
      </c>
      <c r="D190" s="22">
        <f t="shared" si="101"/>
        <v>2.5547773146132879</v>
      </c>
      <c r="E190" s="22">
        <f t="shared" si="101"/>
        <v>2.3914234511628774</v>
      </c>
      <c r="F190" s="22">
        <f t="shared" si="100"/>
        <v>2.2280695877124672</v>
      </c>
      <c r="G190" s="22">
        <f t="shared" si="100"/>
        <v>2.0647157242620571</v>
      </c>
      <c r="H190" s="22">
        <f t="shared" si="100"/>
        <v>1.9013618608116467</v>
      </c>
      <c r="I190" s="22">
        <f t="shared" si="100"/>
        <v>1.7380079973612363</v>
      </c>
      <c r="J190" s="22">
        <f t="shared" si="100"/>
        <v>1.574654133910826</v>
      </c>
      <c r="K190" s="22">
        <f t="shared" si="100"/>
        <v>1.4113002704604158</v>
      </c>
      <c r="L190" s="22">
        <f t="shared" si="100"/>
        <v>1.2479464070100055</v>
      </c>
      <c r="M190" s="22">
        <f t="shared" si="100"/>
        <v>1.0845925435595951</v>
      </c>
      <c r="N190" s="22">
        <f t="shared" si="100"/>
        <v>0.92123868010918497</v>
      </c>
      <c r="O190" s="22">
        <f t="shared" si="100"/>
        <v>0.75788481665877461</v>
      </c>
      <c r="P190" s="22">
        <f t="shared" si="100"/>
        <v>0.59453095320836447</v>
      </c>
      <c r="Q190" s="22">
        <f t="shared" si="100"/>
        <v>0.4311770897579541</v>
      </c>
      <c r="R190" s="22">
        <f t="shared" si="100"/>
        <v>0.26782322630754396</v>
      </c>
      <c r="S190" s="22">
        <f t="shared" si="100"/>
        <v>0.10446936285713337</v>
      </c>
      <c r="T190" s="22">
        <f t="shared" si="100"/>
        <v>-5.8884500593276767E-2</v>
      </c>
      <c r="U190" s="22">
        <f t="shared" si="100"/>
        <v>-0.22223836404368691</v>
      </c>
      <c r="V190" s="22">
        <f t="shared" si="100"/>
        <v>-0.38559222749409749</v>
      </c>
      <c r="W190" s="22">
        <f t="shared" si="100"/>
        <v>-0.54894609094450719</v>
      </c>
      <c r="X190" s="70">
        <f t="shared" si="100"/>
        <v>-0.71229995439491778</v>
      </c>
    </row>
    <row r="191" spans="2:24" x14ac:dyDescent="0.35">
      <c r="B191" s="76"/>
      <c r="C191" s="17">
        <v>0.8</v>
      </c>
      <c r="D191" s="22">
        <f t="shared" si="101"/>
        <v>2.4261752525203217</v>
      </c>
      <c r="E191" s="22">
        <f t="shared" si="101"/>
        <v>2.2628213890699116</v>
      </c>
      <c r="F191" s="22">
        <f t="shared" si="100"/>
        <v>2.0994675256195015</v>
      </c>
      <c r="G191" s="22">
        <f t="shared" si="100"/>
        <v>1.9361136621690911</v>
      </c>
      <c r="H191" s="22">
        <f t="shared" si="100"/>
        <v>1.7727597987186809</v>
      </c>
      <c r="I191" s="22">
        <f t="shared" si="100"/>
        <v>1.6094059352682706</v>
      </c>
      <c r="J191" s="22">
        <f t="shared" si="100"/>
        <v>1.4460520718178602</v>
      </c>
      <c r="K191" s="22">
        <f t="shared" si="100"/>
        <v>1.2826982083674501</v>
      </c>
      <c r="L191" s="22">
        <f t="shared" si="100"/>
        <v>1.1193443449170397</v>
      </c>
      <c r="M191" s="22">
        <f t="shared" si="100"/>
        <v>0.95599048146662935</v>
      </c>
      <c r="N191" s="22">
        <f t="shared" si="100"/>
        <v>0.79263661801621921</v>
      </c>
      <c r="O191" s="22">
        <f t="shared" si="100"/>
        <v>0.62928275456580884</v>
      </c>
      <c r="P191" s="22">
        <f t="shared" si="100"/>
        <v>0.4659288911153987</v>
      </c>
      <c r="Q191" s="22">
        <f t="shared" si="100"/>
        <v>0.30257502766498834</v>
      </c>
      <c r="R191" s="22">
        <f t="shared" si="100"/>
        <v>0.1392211642145782</v>
      </c>
      <c r="S191" s="22">
        <f t="shared" si="100"/>
        <v>-2.4132699235832389E-2</v>
      </c>
      <c r="T191" s="22">
        <f t="shared" si="100"/>
        <v>-0.18748656268624253</v>
      </c>
      <c r="U191" s="22">
        <f t="shared" si="100"/>
        <v>-0.35084042613665267</v>
      </c>
      <c r="V191" s="22">
        <f t="shared" si="100"/>
        <v>-0.51419428958706326</v>
      </c>
      <c r="W191" s="22">
        <f t="shared" si="100"/>
        <v>-0.67754815303747296</v>
      </c>
      <c r="X191" s="70">
        <f t="shared" si="100"/>
        <v>-0.84090201648788354</v>
      </c>
    </row>
    <row r="192" spans="2:24" x14ac:dyDescent="0.35">
      <c r="B192" s="76"/>
      <c r="C192" s="17">
        <v>0.75</v>
      </c>
      <c r="D192" s="22">
        <f t="shared" si="101"/>
        <v>2.297573190427356</v>
      </c>
      <c r="E192" s="22">
        <f t="shared" si="101"/>
        <v>2.1342193269769458</v>
      </c>
      <c r="F192" s="22">
        <f t="shared" si="100"/>
        <v>1.9708654635265355</v>
      </c>
      <c r="G192" s="22">
        <f t="shared" si="100"/>
        <v>1.8075116000761251</v>
      </c>
      <c r="H192" s="22">
        <f t="shared" si="100"/>
        <v>1.6441577366257147</v>
      </c>
      <c r="I192" s="22">
        <f t="shared" si="100"/>
        <v>1.4808038731753046</v>
      </c>
      <c r="J192" s="22">
        <f t="shared" si="100"/>
        <v>1.3174500097248942</v>
      </c>
      <c r="K192" s="22">
        <f t="shared" si="100"/>
        <v>1.1540961462744841</v>
      </c>
      <c r="L192" s="22">
        <f t="shared" si="100"/>
        <v>0.99074228282407373</v>
      </c>
      <c r="M192" s="22">
        <f t="shared" si="100"/>
        <v>0.82738841937366336</v>
      </c>
      <c r="N192" s="22">
        <f t="shared" si="100"/>
        <v>0.66403455592325322</v>
      </c>
      <c r="O192" s="22">
        <f t="shared" si="100"/>
        <v>0.50068069247284286</v>
      </c>
      <c r="P192" s="22">
        <f t="shared" si="100"/>
        <v>0.33732682902243272</v>
      </c>
      <c r="Q192" s="22">
        <f t="shared" si="100"/>
        <v>0.17397296557202235</v>
      </c>
      <c r="R192" s="22">
        <f t="shared" si="100"/>
        <v>1.0619102121612212E-2</v>
      </c>
      <c r="S192" s="22">
        <f t="shared" si="100"/>
        <v>-0.15273476132879837</v>
      </c>
      <c r="T192" s="22">
        <f t="shared" si="100"/>
        <v>-0.31608862477920852</v>
      </c>
      <c r="U192" s="22">
        <f t="shared" si="100"/>
        <v>-0.47944248822961866</v>
      </c>
      <c r="V192" s="22">
        <f t="shared" si="100"/>
        <v>-0.64279635168002924</v>
      </c>
      <c r="W192" s="22">
        <f t="shared" si="100"/>
        <v>-0.80615021513043894</v>
      </c>
      <c r="X192" s="70">
        <f t="shared" si="100"/>
        <v>-0.96950407858084953</v>
      </c>
    </row>
    <row r="193" spans="2:24" x14ac:dyDescent="0.35">
      <c r="B193" s="76"/>
      <c r="C193" s="17">
        <v>0.7</v>
      </c>
      <c r="D193" s="22">
        <f t="shared" si="101"/>
        <v>2.1689711283343902</v>
      </c>
      <c r="E193" s="22">
        <f t="shared" si="101"/>
        <v>2.0056172648839796</v>
      </c>
      <c r="F193" s="22">
        <f t="shared" si="100"/>
        <v>1.8422634014335695</v>
      </c>
      <c r="G193" s="22">
        <f t="shared" si="100"/>
        <v>1.6789095379831591</v>
      </c>
      <c r="H193" s="22">
        <f t="shared" si="100"/>
        <v>1.515555674532749</v>
      </c>
      <c r="I193" s="22">
        <f t="shared" si="100"/>
        <v>1.3522018110823386</v>
      </c>
      <c r="J193" s="22">
        <f t="shared" si="100"/>
        <v>1.1888479476319285</v>
      </c>
      <c r="K193" s="22">
        <f t="shared" si="100"/>
        <v>1.0254940841815181</v>
      </c>
      <c r="L193" s="22">
        <f t="shared" si="100"/>
        <v>0.86214022073110774</v>
      </c>
      <c r="M193" s="22">
        <f t="shared" si="100"/>
        <v>0.69878635728069738</v>
      </c>
      <c r="N193" s="22">
        <f t="shared" si="100"/>
        <v>0.53543249383028724</v>
      </c>
      <c r="O193" s="22">
        <f t="shared" si="100"/>
        <v>0.37207863037987687</v>
      </c>
      <c r="P193" s="22">
        <f t="shared" si="100"/>
        <v>0.20872476692946673</v>
      </c>
      <c r="Q193" s="22">
        <f t="shared" si="100"/>
        <v>4.5370903479056368E-2</v>
      </c>
      <c r="R193" s="22">
        <f t="shared" si="100"/>
        <v>-0.11798295997135377</v>
      </c>
      <c r="S193" s="22">
        <f t="shared" si="100"/>
        <v>-0.28133682342176436</v>
      </c>
      <c r="T193" s="22">
        <f t="shared" si="100"/>
        <v>-0.4446906868721745</v>
      </c>
      <c r="U193" s="22">
        <f t="shared" si="100"/>
        <v>-0.60804455032258464</v>
      </c>
      <c r="V193" s="22">
        <f t="shared" si="100"/>
        <v>-0.77139841377299523</v>
      </c>
      <c r="W193" s="22">
        <f t="shared" si="100"/>
        <v>-0.93475227722340493</v>
      </c>
      <c r="X193" s="70">
        <f t="shared" si="100"/>
        <v>-1.0981061406738155</v>
      </c>
    </row>
    <row r="194" spans="2:24" x14ac:dyDescent="0.35">
      <c r="B194" s="76"/>
      <c r="C194" s="17">
        <v>0.65</v>
      </c>
      <c r="D194" s="22">
        <f t="shared" si="101"/>
        <v>2.040369066241424</v>
      </c>
      <c r="E194" s="22">
        <f t="shared" si="101"/>
        <v>1.8770152027910139</v>
      </c>
      <c r="F194" s="22">
        <f t="shared" si="100"/>
        <v>1.7136613393406037</v>
      </c>
      <c r="G194" s="22">
        <f t="shared" si="100"/>
        <v>1.5503074758901934</v>
      </c>
      <c r="H194" s="22">
        <f t="shared" si="100"/>
        <v>1.3869536124397832</v>
      </c>
      <c r="I194" s="22">
        <f t="shared" si="100"/>
        <v>1.2235997489893728</v>
      </c>
      <c r="J194" s="22">
        <f t="shared" si="100"/>
        <v>1.0602458855389627</v>
      </c>
      <c r="K194" s="22">
        <f t="shared" si="100"/>
        <v>0.89689202208855234</v>
      </c>
      <c r="L194" s="22">
        <f t="shared" si="100"/>
        <v>0.73353815863814198</v>
      </c>
      <c r="M194" s="22">
        <f t="shared" si="100"/>
        <v>0.57018429518773162</v>
      </c>
      <c r="N194" s="22">
        <f t="shared" si="100"/>
        <v>0.40683043173732147</v>
      </c>
      <c r="O194" s="22">
        <f t="shared" si="100"/>
        <v>0.24347656828691111</v>
      </c>
      <c r="P194" s="22">
        <f t="shared" si="100"/>
        <v>8.0122704836500969E-2</v>
      </c>
      <c r="Q194" s="22">
        <f t="shared" si="100"/>
        <v>-8.3231158613909395E-2</v>
      </c>
      <c r="R194" s="22">
        <f t="shared" si="100"/>
        <v>-0.24658502206431954</v>
      </c>
      <c r="S194" s="22">
        <f t="shared" si="100"/>
        <v>-0.40993888551473012</v>
      </c>
      <c r="T194" s="22">
        <f t="shared" si="100"/>
        <v>-0.57329274896514026</v>
      </c>
      <c r="U194" s="22">
        <f t="shared" si="100"/>
        <v>-0.73664661241555041</v>
      </c>
      <c r="V194" s="22">
        <f t="shared" si="100"/>
        <v>-0.90000047586596099</v>
      </c>
      <c r="W194" s="22">
        <f t="shared" si="100"/>
        <v>-1.0633543393163707</v>
      </c>
      <c r="X194" s="70">
        <f t="shared" si="100"/>
        <v>-1.2267082027667813</v>
      </c>
    </row>
    <row r="195" spans="2:24" x14ac:dyDescent="0.35">
      <c r="B195" s="76"/>
      <c r="C195" s="17">
        <v>0.6</v>
      </c>
      <c r="D195" s="22">
        <f t="shared" si="101"/>
        <v>1.9117670041484582</v>
      </c>
      <c r="E195" s="22">
        <f t="shared" si="101"/>
        <v>1.7484131406980479</v>
      </c>
      <c r="F195" s="22">
        <f t="shared" si="100"/>
        <v>1.5850592772476377</v>
      </c>
      <c r="G195" s="22">
        <f t="shared" si="100"/>
        <v>1.4217054137972274</v>
      </c>
      <c r="H195" s="22">
        <f t="shared" si="100"/>
        <v>1.2583515503468172</v>
      </c>
      <c r="I195" s="22">
        <f t="shared" si="100"/>
        <v>1.0949976868964069</v>
      </c>
      <c r="J195" s="22">
        <f t="shared" si="100"/>
        <v>0.93164382344599661</v>
      </c>
      <c r="K195" s="22">
        <f t="shared" si="100"/>
        <v>0.76828995999558636</v>
      </c>
      <c r="L195" s="22">
        <f t="shared" si="100"/>
        <v>0.60493609654517599</v>
      </c>
      <c r="M195" s="22">
        <f t="shared" si="100"/>
        <v>0.44158223309476563</v>
      </c>
      <c r="N195" s="22">
        <f t="shared" si="100"/>
        <v>0.27822836964435549</v>
      </c>
      <c r="O195" s="22">
        <f t="shared" si="100"/>
        <v>0.11487450619394513</v>
      </c>
      <c r="P195" s="22">
        <f t="shared" si="100"/>
        <v>-4.8479357256465017E-2</v>
      </c>
      <c r="Q195" s="22">
        <f t="shared" si="100"/>
        <v>-0.21183322070687538</v>
      </c>
      <c r="R195" s="22">
        <f t="shared" si="100"/>
        <v>-0.37518708415728552</v>
      </c>
      <c r="S195" s="22">
        <f t="shared" si="100"/>
        <v>-0.53854094760769611</v>
      </c>
      <c r="T195" s="22">
        <f t="shared" si="100"/>
        <v>-0.70189481105810625</v>
      </c>
      <c r="U195" s="22">
        <f t="shared" si="100"/>
        <v>-0.86524867450851639</v>
      </c>
      <c r="V195" s="22">
        <f t="shared" si="100"/>
        <v>-1.028602537958927</v>
      </c>
      <c r="W195" s="22">
        <f t="shared" si="100"/>
        <v>-1.1919564014093367</v>
      </c>
      <c r="X195" s="70">
        <f t="shared" si="100"/>
        <v>-1.3553102648597473</v>
      </c>
    </row>
    <row r="196" spans="2:24" x14ac:dyDescent="0.35">
      <c r="B196" s="76"/>
      <c r="C196" s="17">
        <v>0.55000000000000004</v>
      </c>
      <c r="D196" s="22">
        <f t="shared" si="101"/>
        <v>1.7831649420554925</v>
      </c>
      <c r="E196" s="22">
        <f t="shared" si="101"/>
        <v>1.6198110786050821</v>
      </c>
      <c r="F196" s="22">
        <f t="shared" si="100"/>
        <v>1.456457215154672</v>
      </c>
      <c r="G196" s="22">
        <f t="shared" si="100"/>
        <v>1.2931033517042616</v>
      </c>
      <c r="H196" s="22">
        <f t="shared" si="100"/>
        <v>1.1297494882538515</v>
      </c>
      <c r="I196" s="22">
        <f t="shared" si="100"/>
        <v>0.9663956248034411</v>
      </c>
      <c r="J196" s="22">
        <f t="shared" si="100"/>
        <v>0.80304176135303085</v>
      </c>
      <c r="K196" s="22">
        <f t="shared" si="100"/>
        <v>0.63968789790262059</v>
      </c>
      <c r="L196" s="22">
        <f t="shared" si="100"/>
        <v>0.47633403445221023</v>
      </c>
      <c r="M196" s="22">
        <f t="shared" si="100"/>
        <v>0.31298017100179987</v>
      </c>
      <c r="N196" s="22">
        <f t="shared" si="100"/>
        <v>0.14962630755138973</v>
      </c>
      <c r="O196" s="22">
        <f t="shared" si="100"/>
        <v>-1.3727555899020638E-2</v>
      </c>
      <c r="P196" s="22">
        <f t="shared" si="100"/>
        <v>-0.17708141934943078</v>
      </c>
      <c r="Q196" s="22">
        <f t="shared" si="100"/>
        <v>-0.34043528279984114</v>
      </c>
      <c r="R196" s="22">
        <f t="shared" si="100"/>
        <v>-0.50378914625025129</v>
      </c>
      <c r="S196" s="22">
        <f t="shared" si="100"/>
        <v>-0.66714300970066187</v>
      </c>
      <c r="T196" s="22">
        <f t="shared" si="100"/>
        <v>-0.83049687315107201</v>
      </c>
      <c r="U196" s="22">
        <f t="shared" si="100"/>
        <v>-0.99385073660148215</v>
      </c>
      <c r="V196" s="22">
        <f t="shared" si="100"/>
        <v>-1.1572046000518927</v>
      </c>
      <c r="W196" s="22">
        <f t="shared" si="100"/>
        <v>-1.3205584635023024</v>
      </c>
      <c r="X196" s="70">
        <f t="shared" si="100"/>
        <v>-1.483912326952713</v>
      </c>
    </row>
    <row r="197" spans="2:24" x14ac:dyDescent="0.35">
      <c r="B197" s="76"/>
      <c r="C197" s="17">
        <v>0.5</v>
      </c>
      <c r="D197" s="22">
        <f t="shared" si="101"/>
        <v>1.6545628799625265</v>
      </c>
      <c r="E197" s="22">
        <f t="shared" si="101"/>
        <v>1.4912090165121161</v>
      </c>
      <c r="F197" s="22">
        <f t="shared" si="100"/>
        <v>1.327855153061706</v>
      </c>
      <c r="G197" s="22">
        <f t="shared" si="100"/>
        <v>1.1645012896112956</v>
      </c>
      <c r="H197" s="22">
        <f t="shared" si="100"/>
        <v>1.0011474261608853</v>
      </c>
      <c r="I197" s="22">
        <f t="shared" si="100"/>
        <v>0.83779356271047511</v>
      </c>
      <c r="J197" s="22">
        <f t="shared" si="100"/>
        <v>0.67443969926006486</v>
      </c>
      <c r="K197" s="22">
        <f t="shared" si="100"/>
        <v>0.51108583580965461</v>
      </c>
      <c r="L197" s="22">
        <f t="shared" si="100"/>
        <v>0.34773197235924425</v>
      </c>
      <c r="M197" s="22">
        <f t="shared" si="100"/>
        <v>0.18437810890883388</v>
      </c>
      <c r="N197" s="22">
        <f t="shared" si="100"/>
        <v>2.102424545842374E-2</v>
      </c>
      <c r="O197" s="22">
        <f t="shared" si="100"/>
        <v>-0.14232961799198662</v>
      </c>
      <c r="P197" s="22">
        <f t="shared" si="100"/>
        <v>-0.30568348144239677</v>
      </c>
      <c r="Q197" s="22">
        <f t="shared" si="100"/>
        <v>-0.46903734489280713</v>
      </c>
      <c r="R197" s="22">
        <f t="shared" si="100"/>
        <v>-0.63239120834321727</v>
      </c>
      <c r="S197" s="22">
        <f t="shared" si="100"/>
        <v>-0.79574507179362786</v>
      </c>
      <c r="T197" s="22">
        <f t="shared" si="100"/>
        <v>-0.959098935244038</v>
      </c>
      <c r="U197" s="22">
        <f t="shared" si="100"/>
        <v>-1.1224527986944481</v>
      </c>
      <c r="V197" s="22">
        <f t="shared" si="100"/>
        <v>-1.2858066621448587</v>
      </c>
      <c r="W197" s="22">
        <f t="shared" si="100"/>
        <v>-1.4491605255952684</v>
      </c>
      <c r="X197" s="70">
        <f t="shared" si="100"/>
        <v>-1.612514389045679</v>
      </c>
    </row>
    <row r="198" spans="2:24" x14ac:dyDescent="0.35">
      <c r="B198" s="76"/>
      <c r="C198" s="17">
        <v>0.45</v>
      </c>
      <c r="D198" s="22">
        <f t="shared" si="101"/>
        <v>1.5259608178695607</v>
      </c>
      <c r="E198" s="22">
        <f t="shared" si="101"/>
        <v>1.3626069544191504</v>
      </c>
      <c r="F198" s="22">
        <f t="shared" si="100"/>
        <v>1.1992530909687402</v>
      </c>
      <c r="G198" s="22">
        <f t="shared" si="100"/>
        <v>1.0358992275183299</v>
      </c>
      <c r="H198" s="22">
        <f t="shared" si="100"/>
        <v>0.8725453640679196</v>
      </c>
      <c r="I198" s="22">
        <f t="shared" si="100"/>
        <v>0.70919150061750935</v>
      </c>
      <c r="J198" s="22">
        <f t="shared" si="100"/>
        <v>0.5458376371670991</v>
      </c>
      <c r="K198" s="22">
        <f t="shared" si="100"/>
        <v>0.38248377371668885</v>
      </c>
      <c r="L198" s="22">
        <f t="shared" si="100"/>
        <v>0.21912991026627848</v>
      </c>
      <c r="M198" s="22">
        <f t="shared" si="100"/>
        <v>5.5776046815868119E-2</v>
      </c>
      <c r="N198" s="22">
        <f t="shared" si="100"/>
        <v>-0.10757781663454202</v>
      </c>
      <c r="O198" s="22">
        <f t="shared" si="100"/>
        <v>-0.27093168008495239</v>
      </c>
      <c r="P198" s="22">
        <f t="shared" si="100"/>
        <v>-0.43428554353536253</v>
      </c>
      <c r="Q198" s="22">
        <f t="shared" si="100"/>
        <v>-0.59763940698577289</v>
      </c>
      <c r="R198" s="22">
        <f t="shared" si="100"/>
        <v>-0.76099327043618303</v>
      </c>
      <c r="S198" s="22">
        <f t="shared" si="100"/>
        <v>-0.92434713388659362</v>
      </c>
      <c r="T198" s="22">
        <f t="shared" si="100"/>
        <v>-1.0877009973370038</v>
      </c>
      <c r="U198" s="22">
        <f t="shared" si="100"/>
        <v>-1.2510548607874139</v>
      </c>
      <c r="V198" s="22">
        <f t="shared" si="100"/>
        <v>-1.4144087242378245</v>
      </c>
      <c r="W198" s="22">
        <f t="shared" si="100"/>
        <v>-1.5777625876882342</v>
      </c>
      <c r="X198" s="70">
        <f t="shared" si="100"/>
        <v>-1.7411164511386448</v>
      </c>
    </row>
    <row r="199" spans="2:24" x14ac:dyDescent="0.35">
      <c r="B199" s="76"/>
      <c r="C199" s="17">
        <v>0.4</v>
      </c>
      <c r="D199" s="22">
        <f t="shared" si="101"/>
        <v>1.3973587557765947</v>
      </c>
      <c r="E199" s="22">
        <f t="shared" si="101"/>
        <v>1.2340048923261846</v>
      </c>
      <c r="F199" s="22">
        <f t="shared" si="100"/>
        <v>1.0706510288757742</v>
      </c>
      <c r="G199" s="22">
        <f t="shared" si="100"/>
        <v>0.90729716542536387</v>
      </c>
      <c r="H199" s="22">
        <f t="shared" si="100"/>
        <v>0.74394330197495362</v>
      </c>
      <c r="I199" s="22">
        <f t="shared" si="100"/>
        <v>0.58058943852454337</v>
      </c>
      <c r="J199" s="22">
        <f t="shared" si="100"/>
        <v>0.41723557507413311</v>
      </c>
      <c r="K199" s="22">
        <f t="shared" si="100"/>
        <v>0.25388171162372286</v>
      </c>
      <c r="L199" s="22">
        <f t="shared" si="100"/>
        <v>9.0527848173312497E-2</v>
      </c>
      <c r="M199" s="22">
        <f t="shared" si="100"/>
        <v>-7.2826015277097866E-2</v>
      </c>
      <c r="N199" s="22">
        <f t="shared" si="100"/>
        <v>-0.23617987872750801</v>
      </c>
      <c r="O199" s="22">
        <f t="shared" si="100"/>
        <v>-0.39953374217791837</v>
      </c>
      <c r="P199" s="22">
        <f t="shared" si="100"/>
        <v>-0.56288760562832851</v>
      </c>
      <c r="Q199" s="22">
        <f t="shared" si="100"/>
        <v>-0.72624146907873888</v>
      </c>
      <c r="R199" s="22">
        <f t="shared" si="100"/>
        <v>-0.88959533252914902</v>
      </c>
      <c r="S199" s="22">
        <f t="shared" si="100"/>
        <v>-1.0529491959795596</v>
      </c>
      <c r="T199" s="22">
        <f t="shared" si="100"/>
        <v>-1.2163030594299697</v>
      </c>
      <c r="U199" s="22">
        <f t="shared" si="100"/>
        <v>-1.3796569228803799</v>
      </c>
      <c r="V199" s="22">
        <f t="shared" si="100"/>
        <v>-1.5430107863307905</v>
      </c>
      <c r="W199" s="22">
        <f t="shared" si="100"/>
        <v>-1.7063646497812004</v>
      </c>
      <c r="X199" s="70">
        <f t="shared" si="100"/>
        <v>-1.869718513231611</v>
      </c>
    </row>
    <row r="200" spans="2:24" x14ac:dyDescent="0.35">
      <c r="B200" s="76"/>
      <c r="C200" s="17">
        <v>0.35</v>
      </c>
      <c r="D200" s="22">
        <f t="shared" si="101"/>
        <v>1.2687566936836288</v>
      </c>
      <c r="E200" s="22">
        <f t="shared" si="101"/>
        <v>1.1054028302332184</v>
      </c>
      <c r="F200" s="22">
        <f t="shared" si="100"/>
        <v>0.94204896678280825</v>
      </c>
      <c r="G200" s="22">
        <f t="shared" si="100"/>
        <v>0.77869510333239789</v>
      </c>
      <c r="H200" s="22">
        <f t="shared" si="100"/>
        <v>0.61534123988198763</v>
      </c>
      <c r="I200" s="22">
        <f t="shared" si="100"/>
        <v>0.45198737643157738</v>
      </c>
      <c r="J200" s="22">
        <f t="shared" si="100"/>
        <v>0.28863351298116713</v>
      </c>
      <c r="K200" s="22">
        <f t="shared" si="100"/>
        <v>0.12527964953075688</v>
      </c>
      <c r="L200" s="22">
        <f t="shared" si="100"/>
        <v>-3.8074213919653488E-2</v>
      </c>
      <c r="M200" s="22">
        <f t="shared" si="100"/>
        <v>-0.20142807737006385</v>
      </c>
      <c r="N200" s="22">
        <f t="shared" ref="N200:X207" si="102">(N$208 * $P$5) + ($C200 * $P$6) + $P$8</f>
        <v>-0.36478194082047399</v>
      </c>
      <c r="O200" s="22">
        <f t="shared" si="102"/>
        <v>-0.52813580427088436</v>
      </c>
      <c r="P200" s="22">
        <f t="shared" si="102"/>
        <v>-0.6914896677212945</v>
      </c>
      <c r="Q200" s="22">
        <f t="shared" si="102"/>
        <v>-0.85484353117170486</v>
      </c>
      <c r="R200" s="22">
        <f t="shared" si="102"/>
        <v>-1.018197394622115</v>
      </c>
      <c r="S200" s="22">
        <f t="shared" si="102"/>
        <v>-1.1815512580725256</v>
      </c>
      <c r="T200" s="22">
        <f t="shared" si="102"/>
        <v>-1.3449051215229357</v>
      </c>
      <c r="U200" s="22">
        <f t="shared" si="102"/>
        <v>-1.5082589849733459</v>
      </c>
      <c r="V200" s="22">
        <f t="shared" si="102"/>
        <v>-1.6716128484237565</v>
      </c>
      <c r="W200" s="22">
        <f t="shared" si="102"/>
        <v>-1.8349667118741662</v>
      </c>
      <c r="X200" s="70">
        <f t="shared" si="102"/>
        <v>-1.9983205753245767</v>
      </c>
    </row>
    <row r="201" spans="2:24" x14ac:dyDescent="0.35">
      <c r="B201" s="76"/>
      <c r="C201" s="17">
        <v>0.3</v>
      </c>
      <c r="D201" s="22">
        <f t="shared" si="101"/>
        <v>1.1401546315906628</v>
      </c>
      <c r="E201" s="22">
        <f t="shared" si="101"/>
        <v>0.97680076814025263</v>
      </c>
      <c r="F201" s="22">
        <f t="shared" si="101"/>
        <v>0.81344690468984227</v>
      </c>
      <c r="G201" s="22">
        <f t="shared" si="101"/>
        <v>0.65009304123943212</v>
      </c>
      <c r="H201" s="22">
        <f t="shared" si="101"/>
        <v>0.48673917778902176</v>
      </c>
      <c r="I201" s="22">
        <f t="shared" si="101"/>
        <v>0.32338531433861151</v>
      </c>
      <c r="J201" s="22">
        <f t="shared" si="101"/>
        <v>0.16003145088820125</v>
      </c>
      <c r="K201" s="22">
        <f t="shared" si="101"/>
        <v>-3.3224125622089984E-3</v>
      </c>
      <c r="L201" s="22">
        <f t="shared" si="101"/>
        <v>-0.16667627601261936</v>
      </c>
      <c r="M201" s="22">
        <f t="shared" si="101"/>
        <v>-0.33003013946302973</v>
      </c>
      <c r="N201" s="22">
        <f t="shared" si="101"/>
        <v>-0.49338400291343987</v>
      </c>
      <c r="O201" s="22">
        <f t="shared" si="101"/>
        <v>-0.65673786636385034</v>
      </c>
      <c r="P201" s="22">
        <f t="shared" si="101"/>
        <v>-0.82009172981426048</v>
      </c>
      <c r="Q201" s="22">
        <f t="shared" si="101"/>
        <v>-0.98344559326467063</v>
      </c>
      <c r="R201" s="22">
        <f t="shared" si="101"/>
        <v>-1.1467994567150808</v>
      </c>
      <c r="S201" s="22">
        <f t="shared" si="101"/>
        <v>-1.3101533201654914</v>
      </c>
      <c r="T201" s="22">
        <f t="shared" si="101"/>
        <v>-1.4735071836159015</v>
      </c>
      <c r="U201" s="22">
        <f t="shared" si="102"/>
        <v>-1.6368610470663116</v>
      </c>
      <c r="V201" s="22">
        <f t="shared" si="102"/>
        <v>-1.8002149105167222</v>
      </c>
      <c r="W201" s="22">
        <f t="shared" si="102"/>
        <v>-1.9635687739671319</v>
      </c>
      <c r="X201" s="70">
        <f t="shared" si="102"/>
        <v>-2.1269226374175423</v>
      </c>
    </row>
    <row r="202" spans="2:24" x14ac:dyDescent="0.35">
      <c r="B202" s="76"/>
      <c r="C202" s="17">
        <v>0.25</v>
      </c>
      <c r="D202" s="22">
        <f t="shared" si="101"/>
        <v>1.011552569497697</v>
      </c>
      <c r="E202" s="22">
        <f t="shared" si="101"/>
        <v>0.84819870604728675</v>
      </c>
      <c r="F202" s="22">
        <f t="shared" si="101"/>
        <v>0.6848448425968765</v>
      </c>
      <c r="G202" s="22">
        <f t="shared" si="101"/>
        <v>0.52149097914646614</v>
      </c>
      <c r="H202" s="22">
        <f t="shared" si="101"/>
        <v>0.35813711569605589</v>
      </c>
      <c r="I202" s="22">
        <f t="shared" si="101"/>
        <v>0.19478325224564563</v>
      </c>
      <c r="J202" s="22">
        <f t="shared" si="101"/>
        <v>3.142938879523538E-2</v>
      </c>
      <c r="K202" s="22">
        <f t="shared" si="101"/>
        <v>-0.13192447465517487</v>
      </c>
      <c r="L202" s="22">
        <f t="shared" si="101"/>
        <v>-0.29527833810558524</v>
      </c>
      <c r="M202" s="22">
        <f t="shared" si="101"/>
        <v>-0.4586322015559956</v>
      </c>
      <c r="N202" s="22">
        <f t="shared" si="101"/>
        <v>-0.62198606500640574</v>
      </c>
      <c r="O202" s="22">
        <f t="shared" si="101"/>
        <v>-0.78533992845681611</v>
      </c>
      <c r="P202" s="22">
        <f t="shared" si="101"/>
        <v>-0.94869379190722625</v>
      </c>
      <c r="Q202" s="22">
        <f t="shared" si="101"/>
        <v>-1.1120476553576366</v>
      </c>
      <c r="R202" s="22">
        <f t="shared" si="101"/>
        <v>-1.2754015188080468</v>
      </c>
      <c r="S202" s="22">
        <f t="shared" si="101"/>
        <v>-1.4387553822584573</v>
      </c>
      <c r="T202" s="22">
        <f t="shared" si="101"/>
        <v>-1.6021092457088675</v>
      </c>
      <c r="U202" s="22">
        <f t="shared" si="102"/>
        <v>-1.7654631091592778</v>
      </c>
      <c r="V202" s="22">
        <f t="shared" si="102"/>
        <v>-1.9288169726096884</v>
      </c>
      <c r="W202" s="22">
        <f t="shared" si="102"/>
        <v>-2.0921708360600979</v>
      </c>
      <c r="X202" s="70">
        <f t="shared" si="102"/>
        <v>-2.2555246995105085</v>
      </c>
    </row>
    <row r="203" spans="2:24" x14ac:dyDescent="0.35">
      <c r="B203" s="76"/>
      <c r="C203" s="17">
        <v>0.2</v>
      </c>
      <c r="D203" s="22">
        <f t="shared" si="101"/>
        <v>0.88295050740473113</v>
      </c>
      <c r="E203" s="22">
        <f t="shared" si="101"/>
        <v>0.71959664395432088</v>
      </c>
      <c r="F203" s="22">
        <f t="shared" si="101"/>
        <v>0.55624278050391052</v>
      </c>
      <c r="G203" s="22">
        <f t="shared" si="101"/>
        <v>0.39288891705350032</v>
      </c>
      <c r="H203" s="22">
        <f t="shared" si="101"/>
        <v>0.22953505360309001</v>
      </c>
      <c r="I203" s="22">
        <f t="shared" si="101"/>
        <v>6.6181190152679759E-2</v>
      </c>
      <c r="J203" s="22">
        <f t="shared" si="101"/>
        <v>-9.7172673297730494E-2</v>
      </c>
      <c r="K203" s="22">
        <f t="shared" si="101"/>
        <v>-0.26052653674814075</v>
      </c>
      <c r="L203" s="22">
        <f t="shared" si="101"/>
        <v>-0.42388040019855111</v>
      </c>
      <c r="M203" s="22">
        <f t="shared" si="101"/>
        <v>-0.58723426364896147</v>
      </c>
      <c r="N203" s="22">
        <f t="shared" si="101"/>
        <v>-0.75058812709937173</v>
      </c>
      <c r="O203" s="22">
        <f t="shared" si="101"/>
        <v>-0.91394199054978187</v>
      </c>
      <c r="P203" s="22">
        <f t="shared" si="101"/>
        <v>-1.077295854000192</v>
      </c>
      <c r="Q203" s="22">
        <f t="shared" si="101"/>
        <v>-1.2406497174506026</v>
      </c>
      <c r="R203" s="22">
        <f t="shared" si="101"/>
        <v>-1.4040035809010127</v>
      </c>
      <c r="S203" s="22">
        <f t="shared" si="101"/>
        <v>-1.5673574443514233</v>
      </c>
      <c r="T203" s="22">
        <f t="shared" si="101"/>
        <v>-1.7307113078018335</v>
      </c>
      <c r="U203" s="22">
        <f t="shared" si="102"/>
        <v>-1.8940651712522436</v>
      </c>
      <c r="V203" s="22">
        <f t="shared" si="102"/>
        <v>-2.0574190347026544</v>
      </c>
      <c r="W203" s="22">
        <f t="shared" si="102"/>
        <v>-2.2207728981530641</v>
      </c>
      <c r="X203" s="70">
        <f t="shared" si="102"/>
        <v>-2.3841267616034747</v>
      </c>
    </row>
    <row r="204" spans="2:24" x14ac:dyDescent="0.35">
      <c r="B204" s="76"/>
      <c r="C204" s="17">
        <v>0.15</v>
      </c>
      <c r="D204" s="22">
        <f t="shared" si="101"/>
        <v>0.75434844531176526</v>
      </c>
      <c r="E204" s="22">
        <f t="shared" si="101"/>
        <v>0.5909945818613549</v>
      </c>
      <c r="F204" s="22">
        <f t="shared" si="101"/>
        <v>0.42764071841094464</v>
      </c>
      <c r="G204" s="22">
        <f t="shared" si="101"/>
        <v>0.26428685496053439</v>
      </c>
      <c r="H204" s="22">
        <f t="shared" si="101"/>
        <v>0.10093299151012408</v>
      </c>
      <c r="I204" s="22">
        <f t="shared" si="101"/>
        <v>-6.2420871940286171E-2</v>
      </c>
      <c r="J204" s="22">
        <f t="shared" si="101"/>
        <v>-0.22577473539069648</v>
      </c>
      <c r="K204" s="22">
        <f t="shared" si="101"/>
        <v>-0.38912859884110662</v>
      </c>
      <c r="L204" s="22">
        <f t="shared" si="101"/>
        <v>-0.55248246229151698</v>
      </c>
      <c r="M204" s="22">
        <f t="shared" si="101"/>
        <v>-0.71583632574192735</v>
      </c>
      <c r="N204" s="22">
        <f t="shared" si="101"/>
        <v>-0.87919018919233749</v>
      </c>
      <c r="O204" s="22">
        <f t="shared" si="101"/>
        <v>-1.0425440526427479</v>
      </c>
      <c r="P204" s="22">
        <f t="shared" si="101"/>
        <v>-1.205897916093158</v>
      </c>
      <c r="Q204" s="22">
        <f t="shared" si="101"/>
        <v>-1.3692517795435684</v>
      </c>
      <c r="R204" s="22">
        <f t="shared" si="101"/>
        <v>-1.5326056429939785</v>
      </c>
      <c r="S204" s="22">
        <f t="shared" si="101"/>
        <v>-1.6959595064443891</v>
      </c>
      <c r="T204" s="22">
        <f t="shared" si="101"/>
        <v>-1.8593133698947992</v>
      </c>
      <c r="U204" s="22">
        <f t="shared" si="102"/>
        <v>-2.0226672333452091</v>
      </c>
      <c r="V204" s="22">
        <f t="shared" si="102"/>
        <v>-2.1860210967956197</v>
      </c>
      <c r="W204" s="22">
        <f t="shared" si="102"/>
        <v>-2.3493749602460294</v>
      </c>
      <c r="X204" s="70">
        <f t="shared" si="102"/>
        <v>-2.51272882369644</v>
      </c>
    </row>
    <row r="205" spans="2:24" x14ac:dyDescent="0.35">
      <c r="B205" s="76"/>
      <c r="C205" s="17">
        <v>0.1</v>
      </c>
      <c r="D205" s="22">
        <f t="shared" si="101"/>
        <v>0.62574638321879927</v>
      </c>
      <c r="E205" s="22">
        <f t="shared" si="101"/>
        <v>0.46239251976838902</v>
      </c>
      <c r="F205" s="22">
        <f t="shared" si="101"/>
        <v>0.29903865631797877</v>
      </c>
      <c r="G205" s="22">
        <f t="shared" si="101"/>
        <v>0.13568479286756852</v>
      </c>
      <c r="H205" s="22">
        <f t="shared" si="101"/>
        <v>-2.7669070582841793E-2</v>
      </c>
      <c r="I205" s="22">
        <f t="shared" si="101"/>
        <v>-0.1910229340332521</v>
      </c>
      <c r="J205" s="22">
        <f t="shared" si="101"/>
        <v>-0.35437679748366224</v>
      </c>
      <c r="K205" s="22">
        <f t="shared" si="101"/>
        <v>-0.51773066093407261</v>
      </c>
      <c r="L205" s="22">
        <f t="shared" si="101"/>
        <v>-0.68108452438448297</v>
      </c>
      <c r="M205" s="22">
        <f t="shared" si="101"/>
        <v>-0.84443838783489333</v>
      </c>
      <c r="N205" s="22">
        <f t="shared" si="101"/>
        <v>-1.0077922512853035</v>
      </c>
      <c r="O205" s="22">
        <f t="shared" si="101"/>
        <v>-1.1711461147357138</v>
      </c>
      <c r="P205" s="22">
        <f t="shared" si="101"/>
        <v>-1.334499978186124</v>
      </c>
      <c r="Q205" s="22">
        <f t="shared" si="101"/>
        <v>-1.4978538416365343</v>
      </c>
      <c r="R205" s="22">
        <f t="shared" si="101"/>
        <v>-1.6612077050869443</v>
      </c>
      <c r="S205" s="22">
        <f t="shared" si="101"/>
        <v>-1.8245615685373548</v>
      </c>
      <c r="T205" s="22">
        <f t="shared" si="101"/>
        <v>-1.987915431987765</v>
      </c>
      <c r="U205" s="22">
        <f t="shared" si="102"/>
        <v>-2.1512692954381754</v>
      </c>
      <c r="V205" s="22">
        <f t="shared" si="102"/>
        <v>-2.3146231588885859</v>
      </c>
      <c r="W205" s="22">
        <f t="shared" si="102"/>
        <v>-2.4779770223389956</v>
      </c>
      <c r="X205" s="70">
        <f t="shared" si="102"/>
        <v>-2.6413308857894062</v>
      </c>
    </row>
    <row r="206" spans="2:24" x14ac:dyDescent="0.35">
      <c r="B206" s="76"/>
      <c r="C206" s="17">
        <v>0.05</v>
      </c>
      <c r="D206" s="22">
        <f t="shared" si="101"/>
        <v>0.4971443211258334</v>
      </c>
      <c r="E206" s="22">
        <f t="shared" si="101"/>
        <v>0.33379045767542315</v>
      </c>
      <c r="F206" s="22">
        <f t="shared" si="101"/>
        <v>0.17043659422501287</v>
      </c>
      <c r="G206" s="22">
        <f t="shared" si="101"/>
        <v>7.0827307746026413E-3</v>
      </c>
      <c r="H206" s="22">
        <f t="shared" si="101"/>
        <v>-0.15627113267580772</v>
      </c>
      <c r="I206" s="22">
        <f t="shared" si="101"/>
        <v>-0.31962499612621798</v>
      </c>
      <c r="J206" s="22">
        <f t="shared" si="101"/>
        <v>-0.48297885957662823</v>
      </c>
      <c r="K206" s="22">
        <f t="shared" si="101"/>
        <v>-0.64633272302703837</v>
      </c>
      <c r="L206" s="22">
        <f t="shared" si="101"/>
        <v>-0.80968658647744873</v>
      </c>
      <c r="M206" s="22">
        <f t="shared" si="101"/>
        <v>-0.9730404499278591</v>
      </c>
      <c r="N206" s="22">
        <f t="shared" si="101"/>
        <v>-1.1363943133782692</v>
      </c>
      <c r="O206" s="22">
        <f t="shared" si="101"/>
        <v>-1.2997481768286796</v>
      </c>
      <c r="P206" s="22">
        <f t="shared" si="101"/>
        <v>-1.4631020402790897</v>
      </c>
      <c r="Q206" s="22">
        <f t="shared" si="101"/>
        <v>-1.6264559037295001</v>
      </c>
      <c r="R206" s="22">
        <f t="shared" si="101"/>
        <v>-1.7898097671799105</v>
      </c>
      <c r="S206" s="22">
        <f t="shared" si="101"/>
        <v>-1.9531636306303211</v>
      </c>
      <c r="T206" s="22">
        <f t="shared" si="101"/>
        <v>-2.116517494080731</v>
      </c>
      <c r="U206" s="22">
        <f t="shared" si="102"/>
        <v>-2.2798713575311416</v>
      </c>
      <c r="V206" s="22">
        <f t="shared" si="102"/>
        <v>-2.4432252209815521</v>
      </c>
      <c r="W206" s="22">
        <f t="shared" si="102"/>
        <v>-2.6065790844319618</v>
      </c>
      <c r="X206" s="70">
        <f t="shared" si="102"/>
        <v>-2.7699329478823724</v>
      </c>
    </row>
    <row r="207" spans="2:24" ht="15" thickBot="1" x14ac:dyDescent="0.4">
      <c r="B207" s="77"/>
      <c r="C207" s="18">
        <v>0</v>
      </c>
      <c r="D207" s="22">
        <f t="shared" si="101"/>
        <v>0.36854225903286753</v>
      </c>
      <c r="E207" s="22">
        <f t="shared" si="101"/>
        <v>0.20518839558245724</v>
      </c>
      <c r="F207" s="22">
        <f t="shared" si="101"/>
        <v>4.1834532132046964E-2</v>
      </c>
      <c r="G207" s="22">
        <f t="shared" si="101"/>
        <v>-0.12151933131836329</v>
      </c>
      <c r="H207" s="22">
        <f t="shared" si="101"/>
        <v>-0.2848731947687736</v>
      </c>
      <c r="I207" s="22">
        <f t="shared" si="101"/>
        <v>-0.44822705821918385</v>
      </c>
      <c r="J207" s="22">
        <f t="shared" si="101"/>
        <v>-0.6115809216695941</v>
      </c>
      <c r="K207" s="22">
        <f t="shared" si="101"/>
        <v>-0.77493478512000435</v>
      </c>
      <c r="L207" s="22">
        <f t="shared" si="101"/>
        <v>-0.93828864857041472</v>
      </c>
      <c r="M207" s="22">
        <f t="shared" si="101"/>
        <v>-1.1016425120208251</v>
      </c>
      <c r="N207" s="22">
        <f t="shared" si="101"/>
        <v>-1.2649963754712352</v>
      </c>
      <c r="O207" s="22">
        <f t="shared" si="101"/>
        <v>-1.4283502389216456</v>
      </c>
      <c r="P207" s="22">
        <f t="shared" si="101"/>
        <v>-1.5917041023720557</v>
      </c>
      <c r="Q207" s="22">
        <f t="shared" si="101"/>
        <v>-1.7550579658224661</v>
      </c>
      <c r="R207" s="22">
        <f t="shared" si="101"/>
        <v>-1.9184118292728762</v>
      </c>
      <c r="S207" s="22">
        <f t="shared" si="101"/>
        <v>-2.0817656927232866</v>
      </c>
      <c r="T207" s="22">
        <f t="shared" si="101"/>
        <v>-2.2451195561736972</v>
      </c>
      <c r="U207" s="22">
        <f t="shared" si="102"/>
        <v>-2.4084734196241069</v>
      </c>
      <c r="V207" s="22">
        <f t="shared" si="102"/>
        <v>-2.5718272830745175</v>
      </c>
      <c r="W207" s="22">
        <f t="shared" si="102"/>
        <v>-2.7351811465249272</v>
      </c>
      <c r="X207" s="70">
        <f t="shared" si="102"/>
        <v>-2.8985350099753378</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78" t="s">
        <v>51</v>
      </c>
      <c r="E209" s="79"/>
      <c r="F209" s="79"/>
      <c r="G209" s="79"/>
      <c r="H209" s="79"/>
      <c r="I209" s="79"/>
      <c r="J209" s="79"/>
      <c r="K209" s="79"/>
      <c r="L209" s="79"/>
      <c r="M209" s="79"/>
      <c r="N209" s="79"/>
      <c r="O209" s="79"/>
      <c r="P209" s="79"/>
      <c r="Q209" s="79"/>
      <c r="R209" s="79"/>
      <c r="S209" s="79"/>
      <c r="T209" s="79"/>
      <c r="U209" s="79"/>
      <c r="V209" s="79"/>
      <c r="W209" s="79"/>
      <c r="X209" s="80"/>
    </row>
  </sheetData>
  <mergeCells count="22">
    <mergeCell ref="B97:D97"/>
    <mergeCell ref="AP3:AU3"/>
    <mergeCell ref="AW3:BB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36</xdr:row>
                    <xdr:rowOff>6350</xdr:rowOff>
                  </from>
                  <to>
                    <xdr:col>8</xdr:col>
                    <xdr:colOff>63500</xdr:colOff>
                    <xdr:row>39</xdr:row>
                    <xdr:rowOff>57150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12700</xdr:rowOff>
                  </from>
                  <to>
                    <xdr:col>11</xdr:col>
                    <xdr:colOff>69850</xdr:colOff>
                    <xdr:row>39</xdr:row>
                    <xdr:rowOff>44450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101600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82550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59</v>
      </c>
      <c r="C1" s="92" t="s">
        <v>52</v>
      </c>
      <c r="D1" s="92"/>
      <c r="F1" s="92" t="s">
        <v>56</v>
      </c>
      <c r="G1" s="92"/>
      <c r="I1" s="92" t="s">
        <v>55</v>
      </c>
      <c r="J1" s="92"/>
      <c r="L1" s="92" t="s">
        <v>58</v>
      </c>
      <c r="M1" s="92"/>
      <c r="O1" s="92" t="s">
        <v>57</v>
      </c>
      <c r="P1" s="92"/>
      <c r="R1" s="35"/>
      <c r="S1" s="35"/>
    </row>
    <row r="2" spans="1:39" x14ac:dyDescent="0.35">
      <c r="A2" t="s">
        <v>16</v>
      </c>
      <c r="C2" t="s">
        <v>53</v>
      </c>
      <c r="D2" t="s">
        <v>54</v>
      </c>
      <c r="F2" t="s">
        <v>60</v>
      </c>
      <c r="G2" t="s">
        <v>54</v>
      </c>
      <c r="I2" t="s">
        <v>53</v>
      </c>
      <c r="J2" t="s">
        <v>54</v>
      </c>
      <c r="L2" t="s">
        <v>60</v>
      </c>
      <c r="M2" t="s">
        <v>54</v>
      </c>
      <c r="O2" t="s">
        <v>53</v>
      </c>
      <c r="P2" t="s">
        <v>54</v>
      </c>
    </row>
    <row r="3" spans="1:39" x14ac:dyDescent="0.35">
      <c r="A3" s="3">
        <v>2.2108965491908434</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2.1362514622868747</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2.0829341504585241</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2.0429578319811221</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2.0102608666092174</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1.9805891714624284</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1.9506573340563687</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1.917473021221427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1.8778721044956168</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1.8283125561501232</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1.765157665990166</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1.6857974795176043</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1.5904749194683654</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1.4833590387383213</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1.3711297218872911</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1.2599908924585868</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1.1539410717858087</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1.0550363652991732</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0.96422758669076736</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0.88183006053374713</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0.80769932399405309</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0.74135862992964618</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0.68213818179574848</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0.62929606508084301</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c r="B27" s="3"/>
      <c r="C27" s="3"/>
      <c r="D27" s="3"/>
      <c r="E27" s="3"/>
      <c r="F27" s="3"/>
      <c r="G27" s="3"/>
      <c r="H27" s="3"/>
      <c r="I27" s="3"/>
      <c r="J27" s="3"/>
      <c r="K27" s="3"/>
      <c r="L27" s="3"/>
      <c r="M27" s="3"/>
      <c r="N27" s="3"/>
      <c r="O27" s="3"/>
      <c r="P27" s="3"/>
      <c r="Q27" s="3"/>
      <c r="R27" s="3"/>
      <c r="S27" s="3"/>
      <c r="T27" s="3"/>
    </row>
    <row r="28" spans="1:21" x14ac:dyDescent="0.35">
      <c r="A28" s="3"/>
      <c r="B28" s="3"/>
      <c r="C28" s="3"/>
      <c r="D28" s="3"/>
      <c r="E28" s="3"/>
      <c r="F28" s="3"/>
      <c r="G28" s="3"/>
      <c r="H28" s="3"/>
      <c r="I28" s="3"/>
      <c r="J28" s="3"/>
      <c r="K28" s="3"/>
      <c r="L28" s="3"/>
      <c r="M28" s="3"/>
      <c r="N28" s="3"/>
      <c r="O28" s="3"/>
      <c r="P28" s="3"/>
      <c r="Q28" s="3"/>
      <c r="R28" s="3"/>
      <c r="S28" s="3"/>
      <c r="T28" s="3"/>
    </row>
    <row r="29" spans="1:21" x14ac:dyDescent="0.35">
      <c r="A29" s="3"/>
      <c r="B29" s="3"/>
      <c r="C29" s="3"/>
      <c r="D29" s="3"/>
      <c r="E29" s="3"/>
      <c r="F29" s="3"/>
      <c r="G29" s="3"/>
      <c r="H29" s="3"/>
      <c r="I29" s="3"/>
      <c r="J29" s="3"/>
      <c r="K29" s="3"/>
      <c r="L29" s="3"/>
      <c r="M29" s="3"/>
      <c r="N29" s="3"/>
      <c r="O29" s="3"/>
      <c r="P29" s="3"/>
      <c r="Q29" s="3"/>
      <c r="R29" s="3"/>
      <c r="S29" s="3"/>
      <c r="T29" s="3"/>
    </row>
    <row r="30" spans="1:21" x14ac:dyDescent="0.35">
      <c r="A30" s="3"/>
      <c r="B30" s="3"/>
      <c r="C30" s="3"/>
      <c r="D30" s="3"/>
      <c r="E30" s="3"/>
      <c r="F30" s="3"/>
      <c r="G30" s="3"/>
      <c r="H30" s="3"/>
      <c r="I30" s="3"/>
      <c r="J30" s="3"/>
      <c r="K30" s="3"/>
      <c r="L30" s="3"/>
      <c r="M30" s="3"/>
      <c r="N30" s="3"/>
      <c r="O30" s="3"/>
      <c r="P30" s="3"/>
      <c r="Q30" s="3"/>
      <c r="R30" s="3"/>
      <c r="S30" s="3"/>
      <c r="T30" s="3"/>
    </row>
    <row r="31" spans="1:21" x14ac:dyDescent="0.35">
      <c r="A31" s="3"/>
      <c r="B31" s="3"/>
      <c r="C31" s="3"/>
      <c r="D31" s="3"/>
      <c r="E31" s="3"/>
      <c r="F31" s="3"/>
      <c r="G31" s="3"/>
      <c r="H31" s="3"/>
      <c r="I31" s="3"/>
      <c r="J31" s="3"/>
      <c r="K31" s="3"/>
      <c r="L31" s="3"/>
      <c r="M31" s="3"/>
      <c r="N31" s="3"/>
      <c r="O31" s="3"/>
      <c r="P31" s="3"/>
      <c r="Q31" s="3"/>
      <c r="R31" s="3"/>
      <c r="S31" s="3"/>
      <c r="T31" s="3"/>
    </row>
    <row r="32" spans="1:21" x14ac:dyDescent="0.35">
      <c r="A32" s="3"/>
      <c r="B32" s="3"/>
      <c r="C32" s="3"/>
      <c r="D32" s="3"/>
      <c r="E32" s="3"/>
      <c r="F32" s="3"/>
      <c r="G32" s="3"/>
      <c r="H32" s="3"/>
      <c r="I32" s="3"/>
      <c r="J32" s="3"/>
      <c r="K32" s="3"/>
      <c r="L32" s="3"/>
      <c r="M32" s="3"/>
      <c r="N32" s="3"/>
      <c r="O32" s="3"/>
      <c r="P32" s="3"/>
      <c r="Q32" s="3"/>
      <c r="R32" s="3"/>
      <c r="S32" s="3"/>
      <c r="T32" s="3"/>
    </row>
    <row r="33" spans="1:20" x14ac:dyDescent="0.35">
      <c r="A33" s="3"/>
      <c r="B33" s="3"/>
      <c r="C33" s="3"/>
      <c r="D33" s="3"/>
      <c r="E33" s="3"/>
      <c r="F33" s="3"/>
      <c r="G33" s="3"/>
      <c r="H33" s="3"/>
      <c r="I33" s="3"/>
      <c r="J33" s="3"/>
      <c r="K33" s="3"/>
      <c r="L33" s="3"/>
      <c r="M33" s="3"/>
      <c r="N33" s="3"/>
      <c r="O33" s="3"/>
      <c r="P33" s="3"/>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73</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32</v>
      </c>
    </row>
    <row r="28" spans="29:29" x14ac:dyDescent="0.35">
      <c r="AC28" t="s">
        <v>23</v>
      </c>
    </row>
    <row r="33" spans="29:29" x14ac:dyDescent="0.35">
      <c r="AC33" t="s">
        <v>31</v>
      </c>
    </row>
    <row r="36" spans="29:29" x14ac:dyDescent="0.35">
      <c r="AC36"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2021-05-16T14:08:16Z</dcterms:modified>
</cp:coreProperties>
</file>